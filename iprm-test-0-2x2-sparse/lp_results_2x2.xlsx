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ing\OPT2025\iprm-test-0-2x2-sparse\"/>
    </mc:Choice>
  </mc:AlternateContent>
  <xr:revisionPtr revIDLastSave="0" documentId="8_{9F46C653-5F7A-48C7-A5FE-0AB2F6587983}" xr6:coauthVersionLast="47" xr6:coauthVersionMax="47" xr10:uidLastSave="{00000000-0000-0000-0000-000000000000}"/>
  <bookViews>
    <workbookView xWindow="-120" yWindow="-120" windowWidth="29040" windowHeight="17640" xr2:uid="{C4C58AC0-21CF-4A02-BF06-24C6021F8079}"/>
  </bookViews>
  <sheets>
    <sheet name="lp_results_2x2" sheetId="1" r:id="rId1"/>
  </sheets>
  <calcPr calcId="0"/>
</workbook>
</file>

<file path=xl/calcChain.xml><?xml version="1.0" encoding="utf-8"?>
<calcChain xmlns="http://schemas.openxmlformats.org/spreadsheetml/2006/main">
  <c r="M58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2" i="1"/>
</calcChain>
</file>

<file path=xl/sharedStrings.xml><?xml version="1.0" encoding="utf-8"?>
<sst xmlns="http://schemas.openxmlformats.org/spreadsheetml/2006/main" count="306" uniqueCount="206">
  <si>
    <t>test</t>
  </si>
  <si>
    <t>status</t>
  </si>
  <si>
    <t>setup_time</t>
  </si>
  <si>
    <t>solve_time</t>
  </si>
  <si>
    <t>run_time</t>
  </si>
  <si>
    <t>obj</t>
  </si>
  <si>
    <t>phi</t>
  </si>
  <si>
    <t>iters</t>
  </si>
  <si>
    <t>lp_25fv47</t>
  </si>
  <si>
    <t>QOCO_SOLVED</t>
  </si>
  <si>
    <t>lp_80bau3b</t>
  </si>
  <si>
    <t>lp_adlittle</t>
  </si>
  <si>
    <t>lp_afiro</t>
  </si>
  <si>
    <t>lp_agg</t>
  </si>
  <si>
    <t>lp_agg2</t>
  </si>
  <si>
    <t>lp_agg3</t>
  </si>
  <si>
    <t>lp_bandm</t>
  </si>
  <si>
    <t>lp_beaconfd</t>
  </si>
  <si>
    <t>lp_blend</t>
  </si>
  <si>
    <t>lp_bnl1</t>
  </si>
  <si>
    <t>lp_bnl2</t>
  </si>
  <si>
    <t>lp_boeing1</t>
  </si>
  <si>
    <t>lp_boeing2</t>
  </si>
  <si>
    <t>lp_bore3d</t>
  </si>
  <si>
    <t>lp_brandy</t>
  </si>
  <si>
    <t>lp_capri</t>
  </si>
  <si>
    <t>lp_cycle</t>
  </si>
  <si>
    <t>lp_czprob</t>
  </si>
  <si>
    <t>lp_d2q06c</t>
  </si>
  <si>
    <t>lp_d6cube</t>
  </si>
  <si>
    <t>lp_degen2</t>
  </si>
  <si>
    <t>lp_degen3</t>
  </si>
  <si>
    <t>lp_dfl001</t>
  </si>
  <si>
    <t>lp_e226</t>
  </si>
  <si>
    <t>lp_etamacro</t>
  </si>
  <si>
    <t>lp_fffff800</t>
  </si>
  <si>
    <t>lp_finnis</t>
  </si>
  <si>
    <t>lp_fit1d</t>
  </si>
  <si>
    <t>lp_fit1p</t>
  </si>
  <si>
    <t>lp_fit2d</t>
  </si>
  <si>
    <t>lp_fit2p</t>
  </si>
  <si>
    <t>lp_forplan</t>
  </si>
  <si>
    <t>lp_ganges</t>
  </si>
  <si>
    <t>lp_gfrd_pnc</t>
  </si>
  <si>
    <t>lp_greenbea</t>
  </si>
  <si>
    <t>lp_greenbeb</t>
  </si>
  <si>
    <t>lp_grow15</t>
  </si>
  <si>
    <t>lp_grow22</t>
  </si>
  <si>
    <t>lp_grow7</t>
  </si>
  <si>
    <t>lp_israel</t>
  </si>
  <si>
    <t>lp_kb2</t>
  </si>
  <si>
    <t>lp_lotfi</t>
  </si>
  <si>
    <t>lp_maros</t>
  </si>
  <si>
    <t>lp_maros_r7</t>
  </si>
  <si>
    <t>lp_modszk1</t>
  </si>
  <si>
    <t>lp_nesm</t>
  </si>
  <si>
    <t>lp_perold</t>
  </si>
  <si>
    <t>lp_pilot</t>
  </si>
  <si>
    <t>lp_pilot4</t>
  </si>
  <si>
    <t>lp_pilot87</t>
  </si>
  <si>
    <t>lp_pilot_ja</t>
  </si>
  <si>
    <t>lp_pilot_we</t>
  </si>
  <si>
    <t>lp_pilotnov</t>
  </si>
  <si>
    <t>lp_qap12</t>
  </si>
  <si>
    <t>QOCO_MAX_ITER</t>
  </si>
  <si>
    <t>NaN</t>
  </si>
  <si>
    <t>lp_qap15</t>
  </si>
  <si>
    <t>lp_qap8</t>
  </si>
  <si>
    <t>lp_recipe</t>
  </si>
  <si>
    <t>lp_sc105</t>
  </si>
  <si>
    <t>lp_sc205</t>
  </si>
  <si>
    <t>lp_sc50a</t>
  </si>
  <si>
    <t>lp_sc50b</t>
  </si>
  <si>
    <t>lp_scagr25</t>
  </si>
  <si>
    <t>lp_scagr7</t>
  </si>
  <si>
    <t>lp_scfxm1</t>
  </si>
  <si>
    <t>lp_scfxm2</t>
  </si>
  <si>
    <t>lp_scfxm3</t>
  </si>
  <si>
    <t>lp_scorpion</t>
  </si>
  <si>
    <t>lp_scrs8</t>
  </si>
  <si>
    <t>lp_scsd1</t>
  </si>
  <si>
    <t>lp_scsd6</t>
  </si>
  <si>
    <t>lp_scsd8</t>
  </si>
  <si>
    <t>lp_sctap1</t>
  </si>
  <si>
    <t>lp_sctap2</t>
  </si>
  <si>
    <t>lp_sctap3</t>
  </si>
  <si>
    <t>lp_seba</t>
  </si>
  <si>
    <t>lp_share1b</t>
  </si>
  <si>
    <t>lp_share2b</t>
  </si>
  <si>
    <t>lp_shell</t>
  </si>
  <si>
    <t>lp_ship04l</t>
  </si>
  <si>
    <t>lp_ship04s</t>
  </si>
  <si>
    <t>lp_ship08l</t>
  </si>
  <si>
    <t>lp_ship08s</t>
  </si>
  <si>
    <t>lp_ship12l</t>
  </si>
  <si>
    <t>lp_ship12s</t>
  </si>
  <si>
    <t>lp_sierra</t>
  </si>
  <si>
    <t>lp_stair</t>
  </si>
  <si>
    <t>lp_standata</t>
  </si>
  <si>
    <t>lp_standgub</t>
  </si>
  <si>
    <t>-</t>
  </si>
  <si>
    <t>lp_standmps</t>
  </si>
  <si>
    <t>lp_stocfor1</t>
  </si>
  <si>
    <t>lp_stocfor2</t>
  </si>
  <si>
    <t>lp_stocfor3</t>
  </si>
  <si>
    <t>lp_truss</t>
  </si>
  <si>
    <t>lp_tuff</t>
  </si>
  <si>
    <t>lp_vtp_base</t>
  </si>
  <si>
    <t>lp_wood1p</t>
  </si>
  <si>
    <t>lp_woodw</t>
  </si>
  <si>
    <t>5.5018458883E+03</t>
  </si>
  <si>
    <t>9.8723216072E+05</t>
  </si>
  <si>
    <t>2.2549496316E+05</t>
  </si>
  <si>
    <t>-4.6475314286E+02</t>
  </si>
  <si>
    <t>-3.5991767287E+07</t>
  </si>
  <si>
    <t>-2.0239252356E+07</t>
  </si>
  <si>
    <t>1.0312115935E+07</t>
  </si>
  <si>
    <t>-1.5862801845E+02</t>
  </si>
  <si>
    <t>3.3592485807E+04</t>
  </si>
  <si>
    <t>-3.0812149846E+01</t>
  </si>
  <si>
    <t>1.9776292856E+03</t>
  </si>
  <si>
    <t>1.8112365404E+03</t>
  </si>
  <si>
    <t>-3.3521356751E+02</t>
  </si>
  <si>
    <t>-3.1501872802E+02</t>
  </si>
  <si>
    <t>1.3730803942E+03</t>
  </si>
  <si>
    <t>1.5185098965E+03</t>
  </si>
  <si>
    <t>2.6900129138E+03</t>
  </si>
  <si>
    <t>-5.2263930249E+00</t>
  </si>
  <si>
    <t>2.1851966989E+06</t>
  </si>
  <si>
    <t>1.2278423615E+05</t>
  </si>
  <si>
    <t>3.1549166667E+02</t>
  </si>
  <si>
    <t>-1.4351780000E+03</t>
  </si>
  <si>
    <t>-9.8729400000E+02</t>
  </si>
  <si>
    <t>1.12664E+07</t>
  </si>
  <si>
    <t>-1.8751929066E+01</t>
  </si>
  <si>
    <t>-7.5571521774E+02</t>
  </si>
  <si>
    <t>5.5567961165E+05</t>
  </si>
  <si>
    <t>1.7279096547E+05</t>
  </si>
  <si>
    <t>-9.1463780924E+03</t>
  </si>
  <si>
    <t>9.1463780924E+03</t>
  </si>
  <si>
    <t>-6.8464293294E+04</t>
  </si>
  <si>
    <t>6.8464293232E+04</t>
  </si>
  <si>
    <t>-6.6421873953E+02</t>
  </si>
  <si>
    <t>-1.0958636356E+05</t>
  </si>
  <si>
    <t>6.9022359995E+06</t>
  </si>
  <si>
    <t>-7.2462405908E+07</t>
  </si>
  <si>
    <t>-4.3021476065E+06</t>
  </si>
  <si>
    <t>-1.0687094129E+08</t>
  </si>
  <si>
    <t>-1.6083433648E+08</t>
  </si>
  <si>
    <t>-4.7787811815E+07</t>
  </si>
  <si>
    <t>-8.9664482186E+05</t>
  </si>
  <si>
    <t>-1.7499001299E+03</t>
  </si>
  <si>
    <t>-2.5264706062E+01</t>
  </si>
  <si>
    <t>-5.8063743701E+04</t>
  </si>
  <si>
    <t>1.4971851665E+06</t>
  </si>
  <si>
    <t>3.2061972906E+02</t>
  </si>
  <si>
    <t>1.4076073035E+07</t>
  </si>
  <si>
    <t>-9.3807580773E+03</t>
  </si>
  <si>
    <t>-5.5740430007E+02</t>
  </si>
  <si>
    <t>-6.1131344111E+03</t>
  </si>
  <si>
    <t>-2.7201027439E+06</t>
  </si>
  <si>
    <t>-2.5811392641E+03</t>
  </si>
  <si>
    <t>3.0171072827E+02</t>
  </si>
  <si>
    <t>-4.4972761882E+03</t>
  </si>
  <si>
    <t>2.0350000000E+02</t>
  </si>
  <si>
    <t>5.2289435056E+02</t>
  </si>
  <si>
    <t>1.0409940410E+03</t>
  </si>
  <si>
    <t>-2.6661600000E+02</t>
  </si>
  <si>
    <t>-5.2202061212E+01</t>
  </si>
  <si>
    <t>-6.4575077059E+01</t>
  </si>
  <si>
    <t>-7.0000000000E+01</t>
  </si>
  <si>
    <t>-1.4753433061E+07</t>
  </si>
  <si>
    <t>-2.3313892548E+06</t>
  </si>
  <si>
    <t>1.8416759028E+04</t>
  </si>
  <si>
    <t>3.6660261565E+04</t>
  </si>
  <si>
    <t>5.4901254550E+04</t>
  </si>
  <si>
    <t>1.8781248227E+03</t>
  </si>
  <si>
    <t>9.0429998619E+02</t>
  </si>
  <si>
    <t>8.6666666743E+00</t>
  </si>
  <si>
    <t>5.0500000078E+01</t>
  </si>
  <si>
    <t>9.0499999993E+02</t>
  </si>
  <si>
    <t>1.4122500000E+03</t>
  </si>
  <si>
    <t>1.7248071429E+03</t>
  </si>
  <si>
    <t>1.4240000000E+03</t>
  </si>
  <si>
    <t>1.5711600000E+04</t>
  </si>
  <si>
    <t>-7.6589318579E+04</t>
  </si>
  <si>
    <t>-4.1573224074E+02</t>
  </si>
  <si>
    <t>1.2088253460E+09</t>
  </si>
  <si>
    <t>1.7933245380E+06</t>
  </si>
  <si>
    <t>1.7987147004E+06</t>
  </si>
  <si>
    <t>1.9090552114E+06</t>
  </si>
  <si>
    <t>1.9200982105E+06</t>
  </si>
  <si>
    <t>1.4701879193E+06</t>
  </si>
  <si>
    <t>1.4892361344E+06</t>
  </si>
  <si>
    <t>1.5394362184E+07</t>
  </si>
  <si>
    <t>-2.5126695119E+02</t>
  </si>
  <si>
    <t>1.2576995000E+03</t>
  </si>
  <si>
    <t>1.4060175000E+03</t>
  </si>
  <si>
    <t>-4.1131976219E+04</t>
  </si>
  <si>
    <t>-3.9024408538E+04</t>
  </si>
  <si>
    <t>-3.9976661576E+04</t>
  </si>
  <si>
    <t>4.5881584719E+05</t>
  </si>
  <si>
    <t>2.9214776509E-01</t>
  </si>
  <si>
    <t>1.2983146246E+05</t>
  </si>
  <si>
    <t>1.4429024116E+00</t>
  </si>
  <si>
    <t>1.3044763331E+00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</si>
</sst>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10" xfId="0" applyBorder="1" applyAlignment="1"/>
    <xf numFmtId="0" fontId="0" fillId="33" borderId="10" xfId="0" applyFill="1" applyBorder="1" applyAlignme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9327D-D238-41D7-823B-80AECC07E0E1}">
  <dimension ref="A1:M99"/>
  <sheetViews>
    <sheetView tabSelected="1" topLeftCell="A55" workbookViewId="0">
      <selection activeCell="M59" sqref="M59"/>
    </sheetView>
  </sheetViews>
  <sheetFormatPr defaultRowHeight="14.25" x14ac:dyDescent="0.2"/>
  <cols>
    <col min="13" max="13" width="10.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">
      <c r="A2" t="s">
        <v>8</v>
      </c>
      <c r="B2" t="s">
        <v>9</v>
      </c>
      <c r="C2">
        <v>3.1682000000000002E-2</v>
      </c>
      <c r="D2">
        <v>0.1945267</v>
      </c>
      <c r="E2">
        <v>0.22620870000000001</v>
      </c>
      <c r="F2">
        <v>5501.8458890000002</v>
      </c>
      <c r="G2" s="1">
        <v>1.03E-15</v>
      </c>
      <c r="H2">
        <v>56</v>
      </c>
      <c r="J2" s="2" t="s">
        <v>110</v>
      </c>
      <c r="M2" s="1">
        <f>F2-J2</f>
        <v>6.999998731771484E-7</v>
      </c>
    </row>
    <row r="3" spans="1:13" x14ac:dyDescent="0.2">
      <c r="A3" t="s">
        <v>10</v>
      </c>
      <c r="B3" t="s">
        <v>9</v>
      </c>
      <c r="C3">
        <v>0.79893210000000003</v>
      </c>
      <c r="D3">
        <v>0.61352770000000001</v>
      </c>
      <c r="E3">
        <v>1.4124597999999999</v>
      </c>
      <c r="F3">
        <v>987224.21010000003</v>
      </c>
      <c r="G3" s="1">
        <v>1.04E-14</v>
      </c>
      <c r="H3">
        <v>99</v>
      </c>
      <c r="J3" s="3" t="s">
        <v>111</v>
      </c>
      <c r="M3" s="1">
        <f t="shared" ref="M3:M66" si="0">F3-J3</f>
        <v>-7.9506200000178069</v>
      </c>
    </row>
    <row r="4" spans="1:13" x14ac:dyDescent="0.2">
      <c r="A4" t="s">
        <v>11</v>
      </c>
      <c r="B4" t="s">
        <v>9</v>
      </c>
      <c r="C4">
        <v>4.84E-4</v>
      </c>
      <c r="D4">
        <v>1.5887E-3</v>
      </c>
      <c r="E4">
        <v>2.0726999999999998E-3</v>
      </c>
      <c r="F4">
        <v>225494.9632</v>
      </c>
      <c r="G4" s="1">
        <v>7.5700000000000005E-18</v>
      </c>
      <c r="H4">
        <v>29</v>
      </c>
      <c r="J4" s="2" t="s">
        <v>112</v>
      </c>
      <c r="M4" s="1">
        <f t="shared" si="0"/>
        <v>3.9999984437599778E-5</v>
      </c>
    </row>
    <row r="5" spans="1:13" x14ac:dyDescent="0.2">
      <c r="A5" t="s">
        <v>12</v>
      </c>
      <c r="B5" t="s">
        <v>9</v>
      </c>
      <c r="C5">
        <v>2.309E-4</v>
      </c>
      <c r="D5">
        <v>6.3630000000000002E-4</v>
      </c>
      <c r="E5">
        <v>8.6720000000000005E-4</v>
      </c>
      <c r="F5">
        <v>-464.75314279999998</v>
      </c>
      <c r="G5" s="1">
        <v>3.3199999999999999E-22</v>
      </c>
      <c r="H5">
        <v>12</v>
      </c>
      <c r="J5" s="3" t="s">
        <v>113</v>
      </c>
      <c r="M5" s="1">
        <f t="shared" si="0"/>
        <v>6.0000047596986406E-8</v>
      </c>
    </row>
    <row r="6" spans="1:13" x14ac:dyDescent="0.2">
      <c r="A6" t="s">
        <v>13</v>
      </c>
      <c r="B6" t="s">
        <v>9</v>
      </c>
      <c r="C6">
        <v>2.9658000000000002E-3</v>
      </c>
      <c r="D6">
        <v>1.8366500000000001E-2</v>
      </c>
      <c r="E6">
        <v>2.1332299999999998E-2</v>
      </c>
      <c r="F6">
        <v>-35991634.340000004</v>
      </c>
      <c r="G6" s="1">
        <v>1.38E-14</v>
      </c>
      <c r="H6">
        <v>43</v>
      </c>
      <c r="J6" s="2" t="s">
        <v>114</v>
      </c>
      <c r="M6" s="1">
        <f t="shared" si="0"/>
        <v>132.94699999690056</v>
      </c>
    </row>
    <row r="7" spans="1:13" x14ac:dyDescent="0.2">
      <c r="A7" t="s">
        <v>14</v>
      </c>
      <c r="B7" t="s">
        <v>9</v>
      </c>
      <c r="C7">
        <v>4.7802000000000001E-3</v>
      </c>
      <c r="D7">
        <v>5.7311800000000003E-2</v>
      </c>
      <c r="E7">
        <v>6.2092000000000001E-2</v>
      </c>
      <c r="F7">
        <v>-20239252.300000001</v>
      </c>
      <c r="G7" s="1">
        <v>2.4899999999999998E-15</v>
      </c>
      <c r="H7">
        <v>44</v>
      </c>
      <c r="J7" s="3" t="s">
        <v>115</v>
      </c>
      <c r="M7" s="1">
        <f t="shared" si="0"/>
        <v>5.59999980032444E-2</v>
      </c>
    </row>
    <row r="8" spans="1:13" x14ac:dyDescent="0.2">
      <c r="A8" t="s">
        <v>15</v>
      </c>
      <c r="B8" t="s">
        <v>9</v>
      </c>
      <c r="C8">
        <v>4.1735000000000001E-3</v>
      </c>
      <c r="D8">
        <v>6.7863400000000004E-2</v>
      </c>
      <c r="E8">
        <v>7.2036900000000001E-2</v>
      </c>
      <c r="F8">
        <v>10312116.15</v>
      </c>
      <c r="G8" s="1">
        <v>8.0100000000000004E-15</v>
      </c>
      <c r="H8">
        <v>43</v>
      </c>
      <c r="J8" s="2" t="s">
        <v>116</v>
      </c>
      <c r="M8" s="1">
        <f t="shared" si="0"/>
        <v>0.21499999985098839</v>
      </c>
    </row>
    <row r="9" spans="1:13" x14ac:dyDescent="0.2">
      <c r="A9" t="s">
        <v>16</v>
      </c>
      <c r="B9" t="s">
        <v>9</v>
      </c>
      <c r="C9">
        <v>2.1515000000000002E-3</v>
      </c>
      <c r="D9">
        <v>1.30651E-2</v>
      </c>
      <c r="E9">
        <v>1.52166E-2</v>
      </c>
      <c r="F9">
        <v>-158.6280184</v>
      </c>
      <c r="G9" s="1">
        <v>2.4299999999999999E-17</v>
      </c>
      <c r="H9">
        <v>34</v>
      </c>
      <c r="J9" s="3" t="s">
        <v>117</v>
      </c>
      <c r="M9" s="1">
        <f t="shared" si="0"/>
        <v>5.0000011242445908E-8</v>
      </c>
    </row>
    <row r="10" spans="1:13" x14ac:dyDescent="0.2">
      <c r="A10" t="s">
        <v>17</v>
      </c>
      <c r="B10" t="s">
        <v>9</v>
      </c>
      <c r="C10">
        <v>1.8456E-3</v>
      </c>
      <c r="D10">
        <v>9.1824000000000003E-3</v>
      </c>
      <c r="E10">
        <v>1.1028E-2</v>
      </c>
      <c r="F10">
        <v>33592.485840000001</v>
      </c>
      <c r="G10" s="1">
        <v>1.4800000000000001E-14</v>
      </c>
      <c r="H10">
        <v>30</v>
      </c>
      <c r="J10" s="2" t="s">
        <v>118</v>
      </c>
      <c r="M10" s="1">
        <f t="shared" si="0"/>
        <v>3.300000389572233E-5</v>
      </c>
    </row>
    <row r="11" spans="1:13" x14ac:dyDescent="0.2">
      <c r="A11" t="s">
        <v>18</v>
      </c>
      <c r="B11" t="s">
        <v>9</v>
      </c>
      <c r="C11">
        <v>3.6689999999999997E-4</v>
      </c>
      <c r="D11">
        <v>1.7895000000000001E-3</v>
      </c>
      <c r="E11">
        <v>2.1564000000000002E-3</v>
      </c>
      <c r="F11">
        <v>-30.812149850000001</v>
      </c>
      <c r="G11" s="1">
        <v>1.44E-17</v>
      </c>
      <c r="H11">
        <v>26</v>
      </c>
      <c r="J11" s="3" t="s">
        <v>119</v>
      </c>
      <c r="M11" s="1">
        <f t="shared" si="0"/>
        <v>-4.000000330961484E-9</v>
      </c>
    </row>
    <row r="12" spans="1:13" x14ac:dyDescent="0.2">
      <c r="A12" t="s">
        <v>19</v>
      </c>
      <c r="B12" t="s">
        <v>9</v>
      </c>
      <c r="C12">
        <v>1.6470599999999998E-2</v>
      </c>
      <c r="D12">
        <v>5.54317E-2</v>
      </c>
      <c r="E12">
        <v>7.1902300000000002E-2</v>
      </c>
      <c r="F12">
        <v>1977.629657</v>
      </c>
      <c r="G12" s="1">
        <v>5.3700000000000001E-15</v>
      </c>
      <c r="H12">
        <v>56</v>
      </c>
      <c r="J12" s="2" t="s">
        <v>120</v>
      </c>
      <c r="M12" s="1">
        <f t="shared" si="0"/>
        <v>3.7139999994906248E-4</v>
      </c>
    </row>
    <row r="13" spans="1:13" x14ac:dyDescent="0.2">
      <c r="A13" t="s">
        <v>20</v>
      </c>
      <c r="B13" t="s">
        <v>9</v>
      </c>
      <c r="C13">
        <v>9.8567600000000005E-2</v>
      </c>
      <c r="D13">
        <v>0.68113140000000005</v>
      </c>
      <c r="E13">
        <v>0.77969900000000003</v>
      </c>
      <c r="F13">
        <v>1811.4892689999999</v>
      </c>
      <c r="G13" s="1">
        <v>1.8399999999999999E-14</v>
      </c>
      <c r="H13">
        <v>84</v>
      </c>
      <c r="J13" s="3" t="s">
        <v>121</v>
      </c>
      <c r="M13" s="1">
        <f t="shared" si="0"/>
        <v>0.25272859999995489</v>
      </c>
    </row>
    <row r="14" spans="1:13" x14ac:dyDescent="0.2">
      <c r="A14" t="s">
        <v>21</v>
      </c>
      <c r="B14" t="s">
        <v>9</v>
      </c>
      <c r="C14">
        <v>4.4342000000000001E-3</v>
      </c>
      <c r="D14">
        <v>2.5364899999999999E-2</v>
      </c>
      <c r="E14">
        <v>2.9799099999999999E-2</v>
      </c>
      <c r="F14">
        <v>-335.21356750000001</v>
      </c>
      <c r="G14" s="1">
        <v>3.5499999999999997E-21</v>
      </c>
      <c r="H14">
        <v>45</v>
      </c>
      <c r="J14" s="2" t="s">
        <v>122</v>
      </c>
      <c r="M14" s="1">
        <f t="shared" si="0"/>
        <v>1.0000007932831068E-8</v>
      </c>
    </row>
    <row r="15" spans="1:13" x14ac:dyDescent="0.2">
      <c r="A15" t="s">
        <v>22</v>
      </c>
      <c r="B15" t="s">
        <v>9</v>
      </c>
      <c r="C15">
        <v>1.7328000000000001E-3</v>
      </c>
      <c r="D15">
        <v>7.4850000000000003E-3</v>
      </c>
      <c r="E15">
        <v>9.2178E-3</v>
      </c>
      <c r="F15">
        <v>-315.0187257</v>
      </c>
      <c r="G15" s="1">
        <v>2.2500000000000001E-16</v>
      </c>
      <c r="H15">
        <v>34</v>
      </c>
      <c r="J15" s="3" t="s">
        <v>123</v>
      </c>
      <c r="M15" s="1">
        <f t="shared" si="0"/>
        <v>2.3200000214274041E-6</v>
      </c>
    </row>
    <row r="16" spans="1:13" x14ac:dyDescent="0.2">
      <c r="A16" t="s">
        <v>23</v>
      </c>
      <c r="B16" t="s">
        <v>9</v>
      </c>
      <c r="C16">
        <v>1.8864000000000001E-3</v>
      </c>
      <c r="D16">
        <v>6.7223999999999999E-3</v>
      </c>
      <c r="E16">
        <v>8.6087999999999998E-3</v>
      </c>
      <c r="F16">
        <v>1373.080395</v>
      </c>
      <c r="G16" s="1">
        <v>1.81E-14</v>
      </c>
      <c r="H16">
        <v>32</v>
      </c>
      <c r="J16" s="2" t="s">
        <v>124</v>
      </c>
      <c r="M16" s="1">
        <f t="shared" si="0"/>
        <v>7.9999995250545908E-7</v>
      </c>
    </row>
    <row r="17" spans="1:13" x14ac:dyDescent="0.2">
      <c r="A17" t="s">
        <v>24</v>
      </c>
      <c r="B17" t="s">
        <v>9</v>
      </c>
      <c r="C17">
        <v>1.2363000000000001E-3</v>
      </c>
      <c r="D17">
        <v>9.6074000000000003E-3</v>
      </c>
      <c r="E17">
        <v>1.08437E-2</v>
      </c>
      <c r="F17">
        <v>1518.5098969999999</v>
      </c>
      <c r="G17" s="1">
        <v>7.2500000000000005E-16</v>
      </c>
      <c r="H17">
        <v>31</v>
      </c>
      <c r="J17" s="3" t="s">
        <v>125</v>
      </c>
      <c r="M17" s="1">
        <f t="shared" si="0"/>
        <v>4.9999994189420249E-7</v>
      </c>
    </row>
    <row r="18" spans="1:13" x14ac:dyDescent="0.2">
      <c r="A18" t="s">
        <v>25</v>
      </c>
      <c r="B18" t="s">
        <v>9</v>
      </c>
      <c r="C18">
        <v>2.4786000000000001E-3</v>
      </c>
      <c r="D18">
        <v>1.5742099999999998E-2</v>
      </c>
      <c r="E18">
        <v>1.8220699999999999E-2</v>
      </c>
      <c r="F18">
        <v>2690.0129139999999</v>
      </c>
      <c r="G18" s="1">
        <v>1.08E-15</v>
      </c>
      <c r="H18">
        <v>40</v>
      </c>
      <c r="J18" s="2" t="s">
        <v>126</v>
      </c>
      <c r="M18" s="1">
        <f t="shared" si="0"/>
        <v>1.9999970390927047E-7</v>
      </c>
    </row>
    <row r="19" spans="1:13" x14ac:dyDescent="0.2">
      <c r="A19" t="s">
        <v>26</v>
      </c>
      <c r="B19" t="s">
        <v>9</v>
      </c>
      <c r="C19">
        <v>6.10314E-2</v>
      </c>
      <c r="D19">
        <v>0.42243370000000002</v>
      </c>
      <c r="E19">
        <v>0.48346509999999998</v>
      </c>
      <c r="F19">
        <v>-5.2254631309999997</v>
      </c>
      <c r="G19" s="1">
        <v>4.5299999999999999E-13</v>
      </c>
      <c r="H19">
        <v>67</v>
      </c>
      <c r="J19" s="3" t="s">
        <v>127</v>
      </c>
      <c r="M19" s="1">
        <f t="shared" si="0"/>
        <v>9.2989390000042249E-4</v>
      </c>
    </row>
    <row r="20" spans="1:13" x14ac:dyDescent="0.2">
      <c r="A20" t="s">
        <v>27</v>
      </c>
      <c r="B20" t="s">
        <v>9</v>
      </c>
      <c r="C20">
        <v>6.9050299999999995E-2</v>
      </c>
      <c r="D20">
        <v>7.88132E-2</v>
      </c>
      <c r="E20">
        <v>0.14786350000000001</v>
      </c>
      <c r="F20">
        <v>2185196.699</v>
      </c>
      <c r="G20" s="1">
        <v>4.2299999999999997E-15</v>
      </c>
      <c r="H20">
        <v>66</v>
      </c>
      <c r="J20" s="2" t="s">
        <v>128</v>
      </c>
      <c r="M20" s="1">
        <f t="shared" si="0"/>
        <v>9.999983012676239E-5</v>
      </c>
    </row>
    <row r="21" spans="1:13" x14ac:dyDescent="0.2">
      <c r="A21" t="s">
        <v>28</v>
      </c>
      <c r="B21" t="s">
        <v>9</v>
      </c>
      <c r="C21">
        <v>0.16517609999999999</v>
      </c>
      <c r="D21">
        <v>1.2815093</v>
      </c>
      <c r="E21">
        <v>1.4466854</v>
      </c>
      <c r="F21">
        <v>122784.2108</v>
      </c>
      <c r="G21" s="1">
        <v>1.44E-14</v>
      </c>
      <c r="H21">
        <v>68</v>
      </c>
      <c r="J21" s="3" t="s">
        <v>129</v>
      </c>
      <c r="M21" s="1">
        <f t="shared" si="0"/>
        <v>-2.5349999996251427E-2</v>
      </c>
    </row>
    <row r="22" spans="1:13" x14ac:dyDescent="0.2">
      <c r="A22" t="s">
        <v>29</v>
      </c>
      <c r="B22" t="s">
        <v>9</v>
      </c>
      <c r="C22">
        <v>0.17971429999999999</v>
      </c>
      <c r="D22">
        <v>0.69021319999999997</v>
      </c>
      <c r="E22">
        <v>0.86992749999999996</v>
      </c>
      <c r="F22">
        <v>315.49167039999998</v>
      </c>
      <c r="G22" s="1">
        <v>3.7199999999999997E-15</v>
      </c>
      <c r="H22">
        <v>70</v>
      </c>
      <c r="J22" s="2" t="s">
        <v>130</v>
      </c>
      <c r="M22" s="1">
        <f t="shared" si="0"/>
        <v>3.7300000030882074E-6</v>
      </c>
    </row>
    <row r="23" spans="1:13" x14ac:dyDescent="0.2">
      <c r="A23" t="s">
        <v>30</v>
      </c>
      <c r="B23" t="s">
        <v>9</v>
      </c>
      <c r="C23">
        <v>4.6966999999999998E-3</v>
      </c>
      <c r="D23">
        <v>2.89477E-2</v>
      </c>
      <c r="E23">
        <v>3.3644399999999998E-2</v>
      </c>
      <c r="F23">
        <v>-1435.1779979999999</v>
      </c>
      <c r="G23" s="1">
        <v>1.15E-16</v>
      </c>
      <c r="H23">
        <v>26</v>
      </c>
      <c r="J23" s="3" t="s">
        <v>131</v>
      </c>
      <c r="M23" s="1">
        <f t="shared" si="0"/>
        <v>2.0000002223241609E-6</v>
      </c>
    </row>
    <row r="24" spans="1:13" x14ac:dyDescent="0.2">
      <c r="A24" t="s">
        <v>31</v>
      </c>
      <c r="B24" t="s">
        <v>9</v>
      </c>
      <c r="C24">
        <v>4.27091E-2</v>
      </c>
      <c r="D24">
        <v>0.41965819999999998</v>
      </c>
      <c r="E24">
        <v>0.46236729999999998</v>
      </c>
      <c r="F24">
        <v>-987.29399960000001</v>
      </c>
      <c r="G24" s="1">
        <v>4.7299999999999999E-16</v>
      </c>
      <c r="H24">
        <v>35</v>
      </c>
      <c r="J24" s="2" t="s">
        <v>132</v>
      </c>
      <c r="M24" s="1">
        <f t="shared" si="0"/>
        <v>3.9999997625272954E-7</v>
      </c>
    </row>
    <row r="25" spans="1:13" x14ac:dyDescent="0.2">
      <c r="A25" t="s">
        <v>32</v>
      </c>
      <c r="B25" t="s">
        <v>9</v>
      </c>
      <c r="C25">
        <v>0.75572450000000002</v>
      </c>
      <c r="D25">
        <v>124.2085731</v>
      </c>
      <c r="E25">
        <v>124.96429759999999</v>
      </c>
      <c r="F25">
        <v>11266404.470000001</v>
      </c>
      <c r="G25" s="1">
        <v>1.6899999999999999E-14</v>
      </c>
      <c r="H25">
        <v>107</v>
      </c>
      <c r="J25" s="3" t="s">
        <v>133</v>
      </c>
      <c r="M25" s="1">
        <f t="shared" si="0"/>
        <v>4.4700000006705523</v>
      </c>
    </row>
    <row r="26" spans="1:13" x14ac:dyDescent="0.2">
      <c r="A26" t="s">
        <v>33</v>
      </c>
      <c r="B26" t="s">
        <v>9</v>
      </c>
      <c r="C26">
        <v>2.3262999999999999E-3</v>
      </c>
      <c r="D26">
        <v>1.39966E-2</v>
      </c>
      <c r="E26">
        <v>1.6322900000000001E-2</v>
      </c>
      <c r="F26">
        <v>-18.751929050000001</v>
      </c>
      <c r="G26" s="1">
        <v>3.9499999999999998E-18</v>
      </c>
      <c r="H26">
        <v>37</v>
      </c>
      <c r="J26" s="2" t="s">
        <v>134</v>
      </c>
      <c r="M26" s="1">
        <f t="shared" si="0"/>
        <v>1.5999997771132257E-8</v>
      </c>
    </row>
    <row r="27" spans="1:13" x14ac:dyDescent="0.2">
      <c r="A27" t="s">
        <v>34</v>
      </c>
      <c r="B27" t="s">
        <v>9</v>
      </c>
      <c r="C27">
        <v>5.9608999999999999E-3</v>
      </c>
      <c r="D27">
        <v>8.4938100000000002E-2</v>
      </c>
      <c r="E27">
        <v>9.0898999999999994E-2</v>
      </c>
      <c r="F27">
        <v>-755.7152284</v>
      </c>
      <c r="G27" s="1">
        <v>1.55E-14</v>
      </c>
      <c r="H27">
        <v>51</v>
      </c>
      <c r="J27" s="3" t="s">
        <v>135</v>
      </c>
      <c r="M27" s="1">
        <f t="shared" si="0"/>
        <v>-1.0660000043571927E-5</v>
      </c>
    </row>
    <row r="28" spans="1:13" x14ac:dyDescent="0.2">
      <c r="A28" t="s">
        <v>35</v>
      </c>
      <c r="B28" t="s">
        <v>9</v>
      </c>
      <c r="C28">
        <v>9.5434000000000005E-3</v>
      </c>
      <c r="D28">
        <v>0.1188694</v>
      </c>
      <c r="E28">
        <v>0.12841279999999999</v>
      </c>
      <c r="F28">
        <v>555679.56480000005</v>
      </c>
      <c r="G28" s="1">
        <v>7.4100000000000001E-15</v>
      </c>
      <c r="H28">
        <v>64</v>
      </c>
      <c r="J28" s="2" t="s">
        <v>136</v>
      </c>
      <c r="M28" s="1">
        <f t="shared" si="0"/>
        <v>-4.6849999926052988E-2</v>
      </c>
    </row>
    <row r="29" spans="1:13" x14ac:dyDescent="0.2">
      <c r="A29" t="s">
        <v>36</v>
      </c>
      <c r="B29" t="s">
        <v>9</v>
      </c>
      <c r="C29">
        <v>8.6263999999999993E-3</v>
      </c>
      <c r="D29">
        <v>5.2526200000000002E-2</v>
      </c>
      <c r="E29">
        <v>6.1152600000000001E-2</v>
      </c>
      <c r="F29">
        <v>172794.01670000001</v>
      </c>
      <c r="G29" s="1">
        <v>8.0000000000000006E-15</v>
      </c>
      <c r="H29">
        <v>73</v>
      </c>
      <c r="J29" s="3" t="s">
        <v>137</v>
      </c>
      <c r="M29" s="1">
        <f t="shared" si="0"/>
        <v>3.0512300000118557</v>
      </c>
    </row>
    <row r="30" spans="1:13" x14ac:dyDescent="0.2">
      <c r="A30" t="s">
        <v>37</v>
      </c>
      <c r="B30" t="s">
        <v>9</v>
      </c>
      <c r="C30">
        <v>1.11868E-2</v>
      </c>
      <c r="D30">
        <v>4.60886E-2</v>
      </c>
      <c r="E30">
        <v>5.7275399999999997E-2</v>
      </c>
      <c r="F30">
        <v>-9146.3780920000008</v>
      </c>
      <c r="G30" s="1">
        <v>3.7399999999999998E-12</v>
      </c>
      <c r="H30">
        <v>39</v>
      </c>
      <c r="J30" s="2" t="s">
        <v>138</v>
      </c>
      <c r="M30" s="1">
        <f t="shared" si="0"/>
        <v>3.9999940781854093E-7</v>
      </c>
    </row>
    <row r="31" spans="1:13" x14ac:dyDescent="0.2">
      <c r="A31" t="s">
        <v>38</v>
      </c>
      <c r="B31" t="s">
        <v>9</v>
      </c>
      <c r="C31">
        <v>2.76145E-2</v>
      </c>
      <c r="D31">
        <v>3.0541800000000001E-2</v>
      </c>
      <c r="E31">
        <v>5.8156300000000001E-2</v>
      </c>
      <c r="F31">
        <v>9146.3780939999997</v>
      </c>
      <c r="G31" s="1">
        <v>7.9799999999999998E-14</v>
      </c>
      <c r="H31">
        <v>31</v>
      </c>
      <c r="J31" s="3" t="s">
        <v>139</v>
      </c>
      <c r="M31" s="1">
        <f t="shared" si="0"/>
        <v>1.5999994502635673E-6</v>
      </c>
    </row>
    <row r="32" spans="1:13" x14ac:dyDescent="0.2">
      <c r="A32" t="s">
        <v>39</v>
      </c>
      <c r="B32" t="s">
        <v>9</v>
      </c>
      <c r="C32">
        <v>0.9192572</v>
      </c>
      <c r="D32">
        <v>0.408862</v>
      </c>
      <c r="E32">
        <v>1.3281191999999999</v>
      </c>
      <c r="F32">
        <v>-68464.255669999999</v>
      </c>
      <c r="G32" s="1">
        <v>1.5399999999999999E-12</v>
      </c>
      <c r="H32">
        <v>45</v>
      </c>
      <c r="J32" s="2" t="s">
        <v>140</v>
      </c>
      <c r="M32" s="1">
        <f t="shared" si="0"/>
        <v>3.7624000004143454E-2</v>
      </c>
    </row>
    <row r="33" spans="1:13" x14ac:dyDescent="0.2">
      <c r="A33" t="s">
        <v>40</v>
      </c>
      <c r="B33" t="s">
        <v>9</v>
      </c>
      <c r="C33">
        <v>1.2489452000000001</v>
      </c>
      <c r="D33">
        <v>0.39844940000000001</v>
      </c>
      <c r="E33">
        <v>1.6473945999999999</v>
      </c>
      <c r="F33">
        <v>68464.29333</v>
      </c>
      <c r="G33" s="1">
        <v>1.85E-16</v>
      </c>
      <c r="H33">
        <v>60</v>
      </c>
      <c r="J33" s="3" t="s">
        <v>141</v>
      </c>
      <c r="M33" s="1">
        <f t="shared" si="0"/>
        <v>9.8000004072673619E-5</v>
      </c>
    </row>
    <row r="34" spans="1:13" x14ac:dyDescent="0.2">
      <c r="A34" t="s">
        <v>41</v>
      </c>
      <c r="B34" t="s">
        <v>9</v>
      </c>
      <c r="C34">
        <v>3.4878000000000001E-3</v>
      </c>
      <c r="D34">
        <v>2.3383600000000001E-2</v>
      </c>
      <c r="E34">
        <v>2.68714E-2</v>
      </c>
      <c r="F34">
        <v>-664.21896089999996</v>
      </c>
      <c r="G34" s="1">
        <v>1.5E-16</v>
      </c>
      <c r="H34">
        <v>48</v>
      </c>
      <c r="J34" s="2" t="s">
        <v>142</v>
      </c>
      <c r="M34" s="1">
        <f t="shared" si="0"/>
        <v>-2.2136999996291706E-4</v>
      </c>
    </row>
    <row r="35" spans="1:13" x14ac:dyDescent="0.2">
      <c r="A35" t="s">
        <v>42</v>
      </c>
      <c r="B35" t="s">
        <v>9</v>
      </c>
      <c r="C35">
        <v>2.11551E-2</v>
      </c>
      <c r="D35">
        <v>8.4273600000000004E-2</v>
      </c>
      <c r="E35">
        <v>0.1054287</v>
      </c>
      <c r="F35">
        <v>-109585.73609999999</v>
      </c>
      <c r="G35" s="1">
        <v>7.6499999999999993E-15</v>
      </c>
      <c r="H35">
        <v>39</v>
      </c>
      <c r="J35" s="3" t="s">
        <v>143</v>
      </c>
      <c r="M35" s="1">
        <f t="shared" si="0"/>
        <v>0.62746000000333879</v>
      </c>
    </row>
    <row r="36" spans="1:13" x14ac:dyDescent="0.2">
      <c r="A36" t="s">
        <v>43</v>
      </c>
      <c r="B36" t="s">
        <v>9</v>
      </c>
      <c r="C36">
        <v>1.66123E-2</v>
      </c>
      <c r="D36">
        <v>3.5823099999999997E-2</v>
      </c>
      <c r="E36">
        <v>5.24354E-2</v>
      </c>
      <c r="F36">
        <v>6902236.0099999998</v>
      </c>
      <c r="G36" s="1">
        <v>1.6499999999999999E-16</v>
      </c>
      <c r="H36">
        <v>41</v>
      </c>
      <c r="J36" s="2" t="s">
        <v>144</v>
      </c>
      <c r="M36" s="1">
        <f t="shared" si="0"/>
        <v>1.0499999858438969E-2</v>
      </c>
    </row>
    <row r="37" spans="1:13" x14ac:dyDescent="0.2">
      <c r="A37" t="s">
        <v>44</v>
      </c>
      <c r="B37" t="s">
        <v>9</v>
      </c>
      <c r="C37">
        <v>0.21473010000000001</v>
      </c>
      <c r="D37">
        <v>1.2150805</v>
      </c>
      <c r="E37">
        <v>1.4298105999999999</v>
      </c>
      <c r="F37">
        <v>-72462453.099999994</v>
      </c>
      <c r="G37" s="1">
        <v>6.9599999999999996E-13</v>
      </c>
      <c r="H37">
        <v>74</v>
      </c>
      <c r="J37" s="3" t="s">
        <v>145</v>
      </c>
      <c r="M37" s="1">
        <f t="shared" si="0"/>
        <v>-47.191999986767769</v>
      </c>
    </row>
    <row r="38" spans="1:13" x14ac:dyDescent="0.2">
      <c r="A38" t="s">
        <v>45</v>
      </c>
      <c r="B38" t="s">
        <v>9</v>
      </c>
      <c r="C38">
        <v>0.21391579999999999</v>
      </c>
      <c r="D38">
        <v>1.1940363000000001</v>
      </c>
      <c r="E38">
        <v>1.4079520999999999</v>
      </c>
      <c r="F38">
        <v>-4302256.1229999997</v>
      </c>
      <c r="G38" s="1">
        <v>1.13E-14</v>
      </c>
      <c r="H38">
        <v>77</v>
      </c>
      <c r="J38" s="2" t="s">
        <v>146</v>
      </c>
      <c r="M38" s="1">
        <f t="shared" si="0"/>
        <v>-108.51649999991059</v>
      </c>
    </row>
    <row r="39" spans="1:13" x14ac:dyDescent="0.2">
      <c r="A39" t="s">
        <v>46</v>
      </c>
      <c r="B39" t="s">
        <v>9</v>
      </c>
      <c r="C39">
        <v>4.9560999999999997E-3</v>
      </c>
      <c r="D39">
        <v>7.6860000000000003E-4</v>
      </c>
      <c r="E39">
        <v>5.7247000000000001E-3</v>
      </c>
      <c r="F39">
        <v>-44509341.270000003</v>
      </c>
      <c r="G39" s="1">
        <v>5.59E+16</v>
      </c>
      <c r="H39">
        <v>0</v>
      </c>
      <c r="J39" s="3" t="s">
        <v>147</v>
      </c>
      <c r="M39" s="1">
        <f t="shared" si="0"/>
        <v>62361600.020000003</v>
      </c>
    </row>
    <row r="40" spans="1:13" x14ac:dyDescent="0.2">
      <c r="A40" t="s">
        <v>47</v>
      </c>
      <c r="B40" t="s">
        <v>9</v>
      </c>
      <c r="C40">
        <v>9.2108999999999993E-3</v>
      </c>
      <c r="D40">
        <v>1.0214E-3</v>
      </c>
      <c r="E40">
        <v>1.02323E-2</v>
      </c>
      <c r="F40">
        <v>-68196630.549999997</v>
      </c>
      <c r="G40" s="1">
        <v>8.21E+16</v>
      </c>
      <c r="H40">
        <v>0</v>
      </c>
      <c r="J40" s="2" t="s">
        <v>148</v>
      </c>
      <c r="M40" s="1">
        <f t="shared" si="0"/>
        <v>92637705.929999992</v>
      </c>
    </row>
    <row r="41" spans="1:13" x14ac:dyDescent="0.2">
      <c r="A41" t="s">
        <v>48</v>
      </c>
      <c r="B41" t="s">
        <v>9</v>
      </c>
      <c r="C41">
        <v>1.6278E-3</v>
      </c>
      <c r="D41">
        <v>4.7090000000000001E-4</v>
      </c>
      <c r="E41">
        <v>2.0986999999999998E-3</v>
      </c>
      <c r="F41">
        <v>-19085468.719999999</v>
      </c>
      <c r="G41" s="1">
        <v>2.59E+16</v>
      </c>
      <c r="H41">
        <v>0</v>
      </c>
      <c r="J41" s="3" t="s">
        <v>149</v>
      </c>
      <c r="M41" s="1">
        <f t="shared" si="0"/>
        <v>28702343.094999999</v>
      </c>
    </row>
    <row r="42" spans="1:13" x14ac:dyDescent="0.2">
      <c r="A42" t="s">
        <v>49</v>
      </c>
      <c r="B42" t="s">
        <v>9</v>
      </c>
      <c r="C42">
        <v>2.3471E-3</v>
      </c>
      <c r="D42">
        <v>1.2920900000000001E-2</v>
      </c>
      <c r="E42">
        <v>1.5268E-2</v>
      </c>
      <c r="F42">
        <v>-896644.82160000002</v>
      </c>
      <c r="G42" s="1">
        <v>1.09E-15</v>
      </c>
      <c r="H42">
        <v>49</v>
      </c>
      <c r="J42" s="2" t="s">
        <v>150</v>
      </c>
      <c r="M42" s="1">
        <f t="shared" si="0"/>
        <v>2.6000000070780516E-4</v>
      </c>
    </row>
    <row r="43" spans="1:13" x14ac:dyDescent="0.2">
      <c r="A43" t="s">
        <v>50</v>
      </c>
      <c r="B43" t="s">
        <v>9</v>
      </c>
      <c r="C43">
        <v>2.2049999999999999E-4</v>
      </c>
      <c r="D43">
        <v>2.5799999999999998E-3</v>
      </c>
      <c r="E43">
        <v>2.8005E-3</v>
      </c>
      <c r="F43">
        <v>-1749.90013</v>
      </c>
      <c r="G43" s="1">
        <v>1.5000000000000001E-12</v>
      </c>
      <c r="H43">
        <v>49</v>
      </c>
      <c r="J43" s="3" t="s">
        <v>151</v>
      </c>
      <c r="M43" s="1">
        <f t="shared" si="0"/>
        <v>-1.0000007932831068E-7</v>
      </c>
    </row>
    <row r="44" spans="1:13" x14ac:dyDescent="0.2">
      <c r="A44" t="s">
        <v>51</v>
      </c>
      <c r="B44" t="s">
        <v>9</v>
      </c>
      <c r="C44">
        <v>1.5946999999999999E-3</v>
      </c>
      <c r="D44">
        <v>4.5570999999999997E-3</v>
      </c>
      <c r="E44">
        <v>6.1517999999999998E-3</v>
      </c>
      <c r="F44">
        <v>-25.264705490000001</v>
      </c>
      <c r="G44" s="1">
        <v>1.3400000000000001E-15</v>
      </c>
      <c r="H44">
        <v>27</v>
      </c>
      <c r="J44" s="2" t="s">
        <v>152</v>
      </c>
      <c r="M44" s="1">
        <f t="shared" si="0"/>
        <v>5.7199999758950071E-7</v>
      </c>
    </row>
    <row r="45" spans="1:13" x14ac:dyDescent="0.2">
      <c r="A45" t="s">
        <v>52</v>
      </c>
      <c r="B45" t="s">
        <v>9</v>
      </c>
      <c r="C45">
        <v>2.89728E-2</v>
      </c>
      <c r="D45">
        <v>0.16993040000000001</v>
      </c>
      <c r="E45">
        <v>0.1989032</v>
      </c>
      <c r="F45">
        <v>-58063.74366</v>
      </c>
      <c r="G45" s="1">
        <v>3.2600000000000002E-17</v>
      </c>
      <c r="H45">
        <v>49</v>
      </c>
      <c r="J45" s="3" t="s">
        <v>153</v>
      </c>
      <c r="M45" s="1">
        <f t="shared" si="0"/>
        <v>4.0999999328050762E-5</v>
      </c>
    </row>
    <row r="46" spans="1:13" x14ac:dyDescent="0.2">
      <c r="A46" t="s">
        <v>53</v>
      </c>
      <c r="B46" t="s">
        <v>9</v>
      </c>
      <c r="C46">
        <v>0.59466450000000004</v>
      </c>
      <c r="D46">
        <v>16.130111100000001</v>
      </c>
      <c r="E46">
        <v>16.724775600000001</v>
      </c>
      <c r="F46">
        <v>1497185.2</v>
      </c>
      <c r="G46" s="1">
        <v>4.1299999999999997E-15</v>
      </c>
      <c r="H46">
        <v>53</v>
      </c>
      <c r="J46" s="2" t="s">
        <v>154</v>
      </c>
      <c r="M46" s="1">
        <f t="shared" si="0"/>
        <v>3.3499999903142452E-2</v>
      </c>
    </row>
    <row r="47" spans="1:13" x14ac:dyDescent="0.2">
      <c r="A47" t="s">
        <v>54</v>
      </c>
      <c r="B47" t="s">
        <v>9</v>
      </c>
      <c r="C47">
        <v>1.6142400000000001E-2</v>
      </c>
      <c r="D47">
        <v>2.5481699999999999E-2</v>
      </c>
      <c r="E47">
        <v>4.1624099999999997E-2</v>
      </c>
      <c r="F47">
        <v>320.62025949999997</v>
      </c>
      <c r="G47" s="1">
        <v>1.6099999999999999E-17</v>
      </c>
      <c r="H47">
        <v>41</v>
      </c>
      <c r="J47" s="3" t="s">
        <v>155</v>
      </c>
      <c r="M47" s="1">
        <f t="shared" si="0"/>
        <v>5.3043999997726132E-4</v>
      </c>
    </row>
    <row r="48" spans="1:13" x14ac:dyDescent="0.2">
      <c r="A48" t="s">
        <v>55</v>
      </c>
      <c r="B48" t="s">
        <v>9</v>
      </c>
      <c r="C48">
        <v>6.8882100000000002E-2</v>
      </c>
      <c r="D48">
        <v>0.2539612</v>
      </c>
      <c r="E48">
        <v>0.3228433</v>
      </c>
      <c r="F48">
        <v>14076036.51</v>
      </c>
      <c r="G48" s="1">
        <v>1.32E-14</v>
      </c>
      <c r="H48">
        <v>76</v>
      </c>
      <c r="J48" s="2" t="s">
        <v>156</v>
      </c>
      <c r="M48" s="1">
        <f t="shared" si="0"/>
        <v>-36.525000000372529</v>
      </c>
    </row>
    <row r="49" spans="1:13" x14ac:dyDescent="0.2">
      <c r="A49" t="s">
        <v>56</v>
      </c>
      <c r="B49" t="s">
        <v>9</v>
      </c>
      <c r="C49">
        <v>3.0891700000000001E-2</v>
      </c>
      <c r="D49">
        <v>0.21975159999999999</v>
      </c>
      <c r="E49">
        <v>0.25064330000000001</v>
      </c>
      <c r="F49">
        <v>-9380.7550850000007</v>
      </c>
      <c r="G49" s="1">
        <v>1.6799999999999998E-14</v>
      </c>
      <c r="H49">
        <v>64</v>
      </c>
      <c r="J49" s="3" t="s">
        <v>157</v>
      </c>
      <c r="M49" s="1">
        <f t="shared" si="0"/>
        <v>2.9923000001872424E-3</v>
      </c>
    </row>
    <row r="50" spans="1:13" x14ac:dyDescent="0.2">
      <c r="A50" t="s">
        <v>57</v>
      </c>
      <c r="B50" t="s">
        <v>9</v>
      </c>
      <c r="C50">
        <v>0.17833940000000001</v>
      </c>
      <c r="D50">
        <v>3.4642322000000001</v>
      </c>
      <c r="E50">
        <v>3.6425716000000001</v>
      </c>
      <c r="F50">
        <v>-557.48915609999995</v>
      </c>
      <c r="G50" s="1">
        <v>1.3699999999999999E-14</v>
      </c>
      <c r="H50">
        <v>104</v>
      </c>
      <c r="J50" s="2" t="s">
        <v>158</v>
      </c>
      <c r="M50" s="1">
        <f t="shared" si="0"/>
        <v>-8.4856029999968996E-2</v>
      </c>
    </row>
    <row r="51" spans="1:13" x14ac:dyDescent="0.2">
      <c r="A51" t="s">
        <v>58</v>
      </c>
      <c r="B51" t="s">
        <v>9</v>
      </c>
      <c r="C51">
        <v>9.4917999999999999E-3</v>
      </c>
      <c r="D51">
        <v>7.1124499999999993E-2</v>
      </c>
      <c r="E51">
        <v>8.0616300000000002E-2</v>
      </c>
      <c r="F51">
        <v>-2581.1392609999998</v>
      </c>
      <c r="G51" s="1">
        <v>2.2400000000000001E-14</v>
      </c>
      <c r="H51">
        <v>61</v>
      </c>
      <c r="J51" s="3" t="s">
        <v>159</v>
      </c>
      <c r="M51" s="1">
        <f t="shared" si="0"/>
        <v>3531.9951501</v>
      </c>
    </row>
    <row r="52" spans="1:13" x14ac:dyDescent="0.2">
      <c r="A52" t="s">
        <v>59</v>
      </c>
      <c r="B52" t="s">
        <v>9</v>
      </c>
      <c r="C52">
        <v>0.32922509999999999</v>
      </c>
      <c r="D52">
        <v>18.115416400000001</v>
      </c>
      <c r="E52">
        <v>18.444641499999999</v>
      </c>
      <c r="F52">
        <v>301.71047959999999</v>
      </c>
      <c r="G52" s="1">
        <v>8.2600000000000001E-13</v>
      </c>
      <c r="H52">
        <v>119</v>
      </c>
      <c r="J52" s="2" t="s">
        <v>160</v>
      </c>
      <c r="M52" s="1">
        <f t="shared" si="0"/>
        <v>2720404.4543796</v>
      </c>
    </row>
    <row r="53" spans="1:13" x14ac:dyDescent="0.2">
      <c r="A53" t="s">
        <v>60</v>
      </c>
      <c r="B53" t="s">
        <v>9</v>
      </c>
      <c r="C53">
        <v>4.4172700000000002E-2</v>
      </c>
      <c r="D53">
        <v>0.3821466</v>
      </c>
      <c r="E53">
        <v>0.42631930000000001</v>
      </c>
      <c r="F53">
        <v>-6113.1368339999999</v>
      </c>
      <c r="G53" s="1">
        <v>1.6000000000000001E-14</v>
      </c>
      <c r="H53">
        <v>64</v>
      </c>
      <c r="J53" s="3" t="s">
        <v>161</v>
      </c>
      <c r="M53" s="1">
        <f t="shared" si="0"/>
        <v>-3531.9975698999997</v>
      </c>
    </row>
    <row r="54" spans="1:13" x14ac:dyDescent="0.2">
      <c r="A54" t="s">
        <v>61</v>
      </c>
      <c r="B54" t="s">
        <v>9</v>
      </c>
      <c r="C54">
        <v>5.4639699999999999E-2</v>
      </c>
      <c r="D54">
        <v>0.1463942</v>
      </c>
      <c r="E54">
        <v>0.20103389999999999</v>
      </c>
      <c r="F54">
        <v>-2720100.0619999999</v>
      </c>
      <c r="G54" s="1">
        <v>1.19E-14</v>
      </c>
      <c r="H54">
        <v>69</v>
      </c>
      <c r="J54" s="2" t="s">
        <v>162</v>
      </c>
      <c r="M54" s="1">
        <f t="shared" si="0"/>
        <v>-2720401.7727282699</v>
      </c>
    </row>
    <row r="55" spans="1:13" x14ac:dyDescent="0.2">
      <c r="A55" t="s">
        <v>62</v>
      </c>
      <c r="B55" t="s">
        <v>9</v>
      </c>
      <c r="C55">
        <v>8.7312000000000001E-2</v>
      </c>
      <c r="D55">
        <v>0.34548800000000002</v>
      </c>
      <c r="E55">
        <v>0.43280000000000002</v>
      </c>
      <c r="F55">
        <v>-4497.2761879999998</v>
      </c>
      <c r="G55" s="1">
        <v>7.2000000000000002E-15</v>
      </c>
      <c r="H55">
        <v>49</v>
      </c>
      <c r="J55" s="3" t="s">
        <v>163</v>
      </c>
      <c r="M55" s="1">
        <f t="shared" si="0"/>
        <v>2.0000061340397224E-7</v>
      </c>
    </row>
    <row r="56" spans="1:13" x14ac:dyDescent="0.2">
      <c r="A56" t="s">
        <v>63</v>
      </c>
      <c r="B56" t="s">
        <v>64</v>
      </c>
      <c r="C56">
        <v>0.48972700000000002</v>
      </c>
      <c r="D56">
        <v>274.80816870000001</v>
      </c>
      <c r="E56">
        <v>275.29789570000003</v>
      </c>
      <c r="F56" t="s">
        <v>65</v>
      </c>
      <c r="G56" t="s">
        <v>65</v>
      </c>
      <c r="H56">
        <v>200</v>
      </c>
      <c r="J56" s="2" t="s">
        <v>164</v>
      </c>
      <c r="M56" s="1" t="e">
        <f t="shared" si="0"/>
        <v>#VALUE!</v>
      </c>
    </row>
    <row r="57" spans="1:13" x14ac:dyDescent="0.2">
      <c r="A57" t="s">
        <v>66</v>
      </c>
      <c r="B57" t="s">
        <v>64</v>
      </c>
      <c r="C57">
        <v>2.1184777000000001</v>
      </c>
      <c r="D57">
        <v>42290.653440000002</v>
      </c>
      <c r="E57">
        <v>42292.771919999999</v>
      </c>
      <c r="F57" t="s">
        <v>65</v>
      </c>
      <c r="G57" t="s">
        <v>65</v>
      </c>
      <c r="H57">
        <v>200</v>
      </c>
      <c r="J57" s="3" t="s">
        <v>165</v>
      </c>
      <c r="M57" s="1" t="e">
        <f t="shared" si="0"/>
        <v>#VALUE!</v>
      </c>
    </row>
    <row r="58" spans="1:13" x14ac:dyDescent="0.2">
      <c r="A58" t="s">
        <v>67</v>
      </c>
      <c r="B58" t="s">
        <v>9</v>
      </c>
      <c r="C58">
        <v>2.2671500000000001E-2</v>
      </c>
      <c r="D58">
        <v>1.0862350000000001</v>
      </c>
      <c r="E58">
        <v>1.1089065</v>
      </c>
      <c r="F58">
        <v>203.5</v>
      </c>
      <c r="G58" s="1">
        <v>6.0100000000000005E-22</v>
      </c>
      <c r="H58">
        <v>27</v>
      </c>
      <c r="J58" s="2" t="s">
        <v>166</v>
      </c>
      <c r="M58" s="1">
        <f>F58-J58</f>
        <v>-837.49404099999992</v>
      </c>
    </row>
    <row r="59" spans="1:13" x14ac:dyDescent="0.2">
      <c r="A59" t="s">
        <v>68</v>
      </c>
      <c r="B59" t="s">
        <v>9</v>
      </c>
      <c r="C59">
        <v>7.5949999999999998E-4</v>
      </c>
      <c r="D59">
        <v>4.0930000000000003E-3</v>
      </c>
      <c r="E59">
        <v>4.8525E-3</v>
      </c>
      <c r="F59">
        <v>-266.61599999999999</v>
      </c>
      <c r="G59" s="1">
        <v>1.71E-13</v>
      </c>
      <c r="H59">
        <v>20</v>
      </c>
      <c r="J59" s="3" t="s">
        <v>167</v>
      </c>
      <c r="M59" s="1">
        <f t="shared" si="0"/>
        <v>0</v>
      </c>
    </row>
    <row r="60" spans="1:13" x14ac:dyDescent="0.2">
      <c r="A60" t="s">
        <v>69</v>
      </c>
      <c r="B60" t="s">
        <v>9</v>
      </c>
      <c r="C60">
        <v>6.9499999999999998E-4</v>
      </c>
      <c r="D60">
        <v>1.9997999999999999E-3</v>
      </c>
      <c r="E60">
        <v>2.6947999999999998E-3</v>
      </c>
      <c r="F60">
        <v>-52.202061209999997</v>
      </c>
      <c r="G60" s="1">
        <v>3.6199999999999997E-21</v>
      </c>
      <c r="H60">
        <v>17</v>
      </c>
      <c r="J60" s="2" t="s">
        <v>168</v>
      </c>
      <c r="M60" s="1">
        <f t="shared" si="0"/>
        <v>2.000000165480742E-9</v>
      </c>
    </row>
    <row r="61" spans="1:13" x14ac:dyDescent="0.2">
      <c r="A61" t="s">
        <v>70</v>
      </c>
      <c r="B61" t="s">
        <v>9</v>
      </c>
      <c r="C61">
        <v>1.6149000000000001E-3</v>
      </c>
      <c r="D61">
        <v>3.6727000000000001E-3</v>
      </c>
      <c r="E61">
        <v>5.2875999999999999E-3</v>
      </c>
      <c r="F61">
        <v>-52.202061209999997</v>
      </c>
      <c r="G61" s="1">
        <v>2.2599999999999999E-18</v>
      </c>
      <c r="H61">
        <v>26</v>
      </c>
      <c r="J61" s="3" t="s">
        <v>168</v>
      </c>
      <c r="M61" s="1">
        <f t="shared" si="0"/>
        <v>2.000000165480742E-9</v>
      </c>
    </row>
    <row r="62" spans="1:13" x14ac:dyDescent="0.2">
      <c r="A62" t="s">
        <v>71</v>
      </c>
      <c r="B62" t="s">
        <v>9</v>
      </c>
      <c r="C62">
        <v>2.029E-4</v>
      </c>
      <c r="D62">
        <v>5.3839999999999997E-4</v>
      </c>
      <c r="E62">
        <v>7.4129999999999997E-4</v>
      </c>
      <c r="F62">
        <v>-64.575075040000002</v>
      </c>
      <c r="G62" s="1">
        <v>7.5500000000000004E-16</v>
      </c>
      <c r="H62">
        <v>14</v>
      </c>
      <c r="J62" s="2" t="s">
        <v>169</v>
      </c>
      <c r="M62" s="1">
        <f t="shared" si="0"/>
        <v>2.0189999929698388E-6</v>
      </c>
    </row>
    <row r="63" spans="1:13" x14ac:dyDescent="0.2">
      <c r="A63" t="s">
        <v>72</v>
      </c>
      <c r="B63" t="s">
        <v>9</v>
      </c>
      <c r="C63">
        <v>2.7799999999999998E-4</v>
      </c>
      <c r="D63">
        <v>8.1749999999999998E-4</v>
      </c>
      <c r="E63">
        <v>1.0954999999999999E-3</v>
      </c>
      <c r="F63">
        <v>-70</v>
      </c>
      <c r="G63" s="1">
        <v>2.7199999999999999E-23</v>
      </c>
      <c r="H63">
        <v>13</v>
      </c>
      <c r="J63" s="3" t="s">
        <v>170</v>
      </c>
      <c r="M63" s="1">
        <f t="shared" si="0"/>
        <v>0</v>
      </c>
    </row>
    <row r="64" spans="1:13" x14ac:dyDescent="0.2">
      <c r="A64" t="s">
        <v>73</v>
      </c>
      <c r="B64" t="s">
        <v>9</v>
      </c>
      <c r="C64">
        <v>3.5558E-3</v>
      </c>
      <c r="D64">
        <v>7.6927999999999996E-3</v>
      </c>
      <c r="E64">
        <v>1.1248599999999999E-2</v>
      </c>
      <c r="F64">
        <v>-14753433.060000001</v>
      </c>
      <c r="G64" s="1">
        <v>2.8499999999999998E-14</v>
      </c>
      <c r="H64">
        <v>34</v>
      </c>
      <c r="J64" s="2" t="s">
        <v>171</v>
      </c>
      <c r="M64" s="1">
        <f t="shared" si="0"/>
        <v>1.0000001639127731E-3</v>
      </c>
    </row>
    <row r="65" spans="1:13" x14ac:dyDescent="0.2">
      <c r="A65" t="s">
        <v>74</v>
      </c>
      <c r="B65" t="s">
        <v>9</v>
      </c>
      <c r="C65">
        <v>7.9230000000000001E-4</v>
      </c>
      <c r="D65">
        <v>2.8387E-3</v>
      </c>
      <c r="E65">
        <v>3.6310000000000001E-3</v>
      </c>
      <c r="F65">
        <v>-2331389.8190000001</v>
      </c>
      <c r="G65" s="1">
        <v>1.9700000000000001E-14</v>
      </c>
      <c r="H65">
        <v>32</v>
      </c>
      <c r="J65" s="3" t="s">
        <v>172</v>
      </c>
      <c r="M65" s="1">
        <f t="shared" si="0"/>
        <v>-0.56419999990612268</v>
      </c>
    </row>
    <row r="66" spans="1:13" x14ac:dyDescent="0.2">
      <c r="A66" t="s">
        <v>75</v>
      </c>
      <c r="B66" t="s">
        <v>9</v>
      </c>
      <c r="C66">
        <v>4.1289999999999999E-3</v>
      </c>
      <c r="D66">
        <v>2.17784E-2</v>
      </c>
      <c r="E66">
        <v>2.5907400000000001E-2</v>
      </c>
      <c r="F66">
        <v>18416.75909</v>
      </c>
      <c r="G66" s="1">
        <v>1.6400000000000001E-14</v>
      </c>
      <c r="H66">
        <v>39</v>
      </c>
      <c r="J66" s="2" t="s">
        <v>173</v>
      </c>
      <c r="M66" s="1">
        <f t="shared" si="0"/>
        <v>6.1999999161344022E-5</v>
      </c>
    </row>
    <row r="67" spans="1:13" x14ac:dyDescent="0.2">
      <c r="A67" t="s">
        <v>76</v>
      </c>
      <c r="B67" t="s">
        <v>9</v>
      </c>
      <c r="C67">
        <v>1.2005200000000001E-2</v>
      </c>
      <c r="D67">
        <v>4.7944300000000002E-2</v>
      </c>
      <c r="E67">
        <v>5.9949500000000003E-2</v>
      </c>
      <c r="F67">
        <v>36660.261570000002</v>
      </c>
      <c r="G67" s="1">
        <v>2.4800000000000001E-17</v>
      </c>
      <c r="H67">
        <v>50</v>
      </c>
      <c r="J67" s="3" t="s">
        <v>174</v>
      </c>
      <c r="M67" s="1">
        <f t="shared" ref="M67:M99" si="1">F67-J67</f>
        <v>5.0000016926787794E-6</v>
      </c>
    </row>
    <row r="68" spans="1:13" x14ac:dyDescent="0.2">
      <c r="A68" t="s">
        <v>77</v>
      </c>
      <c r="B68" t="s">
        <v>9</v>
      </c>
      <c r="C68">
        <v>3.1651400000000003E-2</v>
      </c>
      <c r="D68">
        <v>8.3675600000000003E-2</v>
      </c>
      <c r="E68">
        <v>0.115327</v>
      </c>
      <c r="F68">
        <v>54901.254549999998</v>
      </c>
      <c r="G68" s="1">
        <v>4.25E-19</v>
      </c>
      <c r="H68">
        <v>50</v>
      </c>
      <c r="J68" s="2" t="s">
        <v>175</v>
      </c>
      <c r="M68" s="1">
        <f t="shared" si="1"/>
        <v>0</v>
      </c>
    </row>
    <row r="69" spans="1:13" x14ac:dyDescent="0.2">
      <c r="A69" t="s">
        <v>78</v>
      </c>
      <c r="B69" t="s">
        <v>9</v>
      </c>
      <c r="C69">
        <v>2.1221999999999999E-3</v>
      </c>
      <c r="D69">
        <v>7.1473999999999999E-3</v>
      </c>
      <c r="E69">
        <v>9.2695999999999994E-3</v>
      </c>
      <c r="F69">
        <v>1878.1248270000001</v>
      </c>
      <c r="G69" s="1">
        <v>4.98E-14</v>
      </c>
      <c r="H69">
        <v>24</v>
      </c>
      <c r="J69" s="3" t="s">
        <v>176</v>
      </c>
      <c r="M69" s="1">
        <f t="shared" si="1"/>
        <v>4.3000000005122274E-6</v>
      </c>
    </row>
    <row r="70" spans="1:13" x14ac:dyDescent="0.2">
      <c r="A70" t="s">
        <v>79</v>
      </c>
      <c r="B70" t="s">
        <v>9</v>
      </c>
      <c r="C70">
        <v>1.19156E-2</v>
      </c>
      <c r="D70">
        <v>3.60346E-2</v>
      </c>
      <c r="E70">
        <v>4.7950199999999998E-2</v>
      </c>
      <c r="F70">
        <v>904.29695530000004</v>
      </c>
      <c r="G70" s="1">
        <v>6.0100000000000002E-15</v>
      </c>
      <c r="H70">
        <v>52</v>
      </c>
      <c r="J70" s="2" t="s">
        <v>177</v>
      </c>
      <c r="M70" s="1">
        <f t="shared" si="1"/>
        <v>-3.0308899999909045E-3</v>
      </c>
    </row>
    <row r="71" spans="1:13" x14ac:dyDescent="0.2">
      <c r="A71" t="s">
        <v>80</v>
      </c>
      <c r="B71" t="s">
        <v>9</v>
      </c>
      <c r="C71">
        <v>6.8627000000000002E-3</v>
      </c>
      <c r="D71">
        <v>8.5801000000000002E-3</v>
      </c>
      <c r="E71">
        <v>1.54428E-2</v>
      </c>
      <c r="F71">
        <v>8.6666666760000002</v>
      </c>
      <c r="G71" s="1">
        <v>2.4299999999999998E-19</v>
      </c>
      <c r="H71">
        <v>20</v>
      </c>
      <c r="J71" s="3" t="s">
        <v>178</v>
      </c>
      <c r="M71" s="1">
        <f t="shared" si="1"/>
        <v>1.7000001406586307E-9</v>
      </c>
    </row>
    <row r="72" spans="1:13" x14ac:dyDescent="0.2">
      <c r="A72" t="s">
        <v>81</v>
      </c>
      <c r="B72" t="s">
        <v>9</v>
      </c>
      <c r="C72">
        <v>1.40086E-2</v>
      </c>
      <c r="D72">
        <v>1.6602200000000001E-2</v>
      </c>
      <c r="E72">
        <v>3.0610800000000001E-2</v>
      </c>
      <c r="F72">
        <v>50.50000103</v>
      </c>
      <c r="G72" s="1">
        <v>1.3400000000000001E-13</v>
      </c>
      <c r="H72">
        <v>24</v>
      </c>
      <c r="J72" s="2" t="s">
        <v>179</v>
      </c>
      <c r="M72" s="1">
        <f t="shared" si="1"/>
        <v>9.5200000060913226E-7</v>
      </c>
    </row>
    <row r="73" spans="1:13" x14ac:dyDescent="0.2">
      <c r="A73" t="s">
        <v>82</v>
      </c>
      <c r="B73" t="s">
        <v>9</v>
      </c>
      <c r="C73">
        <v>7.1439000000000002E-2</v>
      </c>
      <c r="D73">
        <v>2.34165E-2</v>
      </c>
      <c r="E73">
        <v>9.4855499999999995E-2</v>
      </c>
      <c r="F73">
        <v>905.00056059999997</v>
      </c>
      <c r="G73" s="1">
        <v>4.2400000000000001E-13</v>
      </c>
      <c r="H73">
        <v>19</v>
      </c>
      <c r="J73" s="3" t="s">
        <v>180</v>
      </c>
      <c r="M73" s="1">
        <f t="shared" si="1"/>
        <v>5.606700000271303E-4</v>
      </c>
    </row>
    <row r="74" spans="1:13" x14ac:dyDescent="0.2">
      <c r="A74" t="s">
        <v>83</v>
      </c>
      <c r="B74" t="s">
        <v>9</v>
      </c>
      <c r="C74">
        <v>3.4792E-3</v>
      </c>
      <c r="D74">
        <v>1.32006E-2</v>
      </c>
      <c r="E74">
        <v>1.6679800000000002E-2</v>
      </c>
      <c r="F74">
        <v>1412.25</v>
      </c>
      <c r="G74" s="1">
        <v>9.9999999999999998E-17</v>
      </c>
      <c r="H74">
        <v>33</v>
      </c>
      <c r="J74" s="2" t="s">
        <v>181</v>
      </c>
      <c r="M74" s="1">
        <f t="shared" si="1"/>
        <v>0</v>
      </c>
    </row>
    <row r="75" spans="1:13" x14ac:dyDescent="0.2">
      <c r="A75" t="s">
        <v>84</v>
      </c>
      <c r="B75" t="s">
        <v>9</v>
      </c>
      <c r="C75">
        <v>6.6454299999999994E-2</v>
      </c>
      <c r="D75">
        <v>6.4427600000000002E-2</v>
      </c>
      <c r="E75">
        <v>0.1308819</v>
      </c>
      <c r="F75">
        <v>1724.807153</v>
      </c>
      <c r="G75" s="1">
        <v>3.06E-15</v>
      </c>
      <c r="H75">
        <v>32</v>
      </c>
      <c r="J75" s="3" t="s">
        <v>182</v>
      </c>
      <c r="M75" s="1">
        <f t="shared" si="1"/>
        <v>1.0100000054080738E-5</v>
      </c>
    </row>
    <row r="76" spans="1:13" x14ac:dyDescent="0.2">
      <c r="A76" t="s">
        <v>85</v>
      </c>
      <c r="B76" t="s">
        <v>9</v>
      </c>
      <c r="C76">
        <v>0.1003218</v>
      </c>
      <c r="D76">
        <v>4.2995199999999997E-2</v>
      </c>
      <c r="E76">
        <v>0.143317</v>
      </c>
      <c r="F76">
        <v>1424.0000010000001</v>
      </c>
      <c r="G76" s="1">
        <v>2.2199999999999999E-17</v>
      </c>
      <c r="H76">
        <v>25</v>
      </c>
      <c r="J76" s="2" t="s">
        <v>183</v>
      </c>
      <c r="M76" s="1">
        <f t="shared" si="1"/>
        <v>1.0000001111620804E-6</v>
      </c>
    </row>
    <row r="77" spans="1:13" x14ac:dyDescent="0.2">
      <c r="A77" t="s">
        <v>86</v>
      </c>
      <c r="B77" t="s">
        <v>9</v>
      </c>
      <c r="C77">
        <v>1.21701E-2</v>
      </c>
      <c r="D77">
        <v>2.1527000000000001E-2</v>
      </c>
      <c r="E77">
        <v>3.3697100000000001E-2</v>
      </c>
      <c r="F77">
        <v>15711.6</v>
      </c>
      <c r="G77" s="1">
        <v>2.52E-20</v>
      </c>
      <c r="H77">
        <v>32</v>
      </c>
      <c r="J77" s="3" t="s">
        <v>184</v>
      </c>
      <c r="M77" s="1">
        <f t="shared" si="1"/>
        <v>0</v>
      </c>
    </row>
    <row r="78" spans="1:13" x14ac:dyDescent="0.2">
      <c r="A78" t="s">
        <v>87</v>
      </c>
      <c r="B78" t="s">
        <v>9</v>
      </c>
      <c r="C78">
        <v>1.4741000000000001E-3</v>
      </c>
      <c r="D78">
        <v>2.2738000000000001E-2</v>
      </c>
      <c r="E78">
        <v>2.42121E-2</v>
      </c>
      <c r="F78">
        <v>-76589.318580000006</v>
      </c>
      <c r="G78" s="1">
        <v>1.66E-20</v>
      </c>
      <c r="H78">
        <v>47</v>
      </c>
      <c r="J78" s="2" t="s">
        <v>185</v>
      </c>
      <c r="M78" s="1">
        <f t="shared" si="1"/>
        <v>-1.0000076144933701E-6</v>
      </c>
    </row>
    <row r="79" spans="1:13" x14ac:dyDescent="0.2">
      <c r="A79" t="s">
        <v>88</v>
      </c>
      <c r="B79" t="s">
        <v>9</v>
      </c>
      <c r="C79">
        <v>6.7049999999999998E-4</v>
      </c>
      <c r="D79">
        <v>2.6908000000000001E-3</v>
      </c>
      <c r="E79">
        <v>3.3612999999999998E-3</v>
      </c>
      <c r="F79">
        <v>-415.73224069999998</v>
      </c>
      <c r="G79" s="1">
        <v>9.7100000000000003E-17</v>
      </c>
      <c r="H79">
        <v>21</v>
      </c>
      <c r="J79" s="3" t="s">
        <v>186</v>
      </c>
      <c r="M79" s="1">
        <f t="shared" si="1"/>
        <v>4.000003173132427E-8</v>
      </c>
    </row>
    <row r="80" spans="1:13" x14ac:dyDescent="0.2">
      <c r="A80" t="s">
        <v>89</v>
      </c>
      <c r="B80" t="s">
        <v>9</v>
      </c>
      <c r="C80">
        <v>3.0627399999999999E-2</v>
      </c>
      <c r="D80">
        <v>4.4943200000000003E-2</v>
      </c>
      <c r="E80">
        <v>7.5570600000000002E-2</v>
      </c>
      <c r="F80">
        <v>1208825346</v>
      </c>
      <c r="G80" s="1">
        <v>9.0500000000000004E-17</v>
      </c>
      <c r="H80">
        <v>50</v>
      </c>
      <c r="J80" s="2" t="s">
        <v>187</v>
      </c>
      <c r="M80" s="1">
        <f t="shared" si="1"/>
        <v>0</v>
      </c>
    </row>
    <row r="81" spans="1:13" x14ac:dyDescent="0.2">
      <c r="A81" t="s">
        <v>90</v>
      </c>
      <c r="B81" t="s">
        <v>9</v>
      </c>
      <c r="C81">
        <v>4.1215300000000003E-2</v>
      </c>
      <c r="D81">
        <v>4.6885400000000001E-2</v>
      </c>
      <c r="E81">
        <v>8.8100700000000004E-2</v>
      </c>
      <c r="F81">
        <v>1793324.5390000001</v>
      </c>
      <c r="G81" s="1">
        <v>5.8500000000000001E-17</v>
      </c>
      <c r="H81">
        <v>42</v>
      </c>
      <c r="J81" s="3" t="s">
        <v>188</v>
      </c>
      <c r="M81" s="1">
        <f t="shared" si="1"/>
        <v>1.0000001639127731E-3</v>
      </c>
    </row>
    <row r="82" spans="1:13" x14ac:dyDescent="0.2">
      <c r="A82" t="s">
        <v>91</v>
      </c>
      <c r="B82" t="s">
        <v>9</v>
      </c>
      <c r="C82">
        <v>1.9037200000000001E-2</v>
      </c>
      <c r="D82">
        <v>2.0747499999999999E-2</v>
      </c>
      <c r="E82">
        <v>3.9784699999999999E-2</v>
      </c>
      <c r="F82">
        <v>1798714.7009999999</v>
      </c>
      <c r="G82" s="1">
        <v>4.1100000000000002E-19</v>
      </c>
      <c r="H82">
        <v>31</v>
      </c>
      <c r="J82" s="2" t="s">
        <v>189</v>
      </c>
      <c r="M82" s="1">
        <f t="shared" si="1"/>
        <v>5.9999991208314896E-4</v>
      </c>
    </row>
    <row r="83" spans="1:13" x14ac:dyDescent="0.2">
      <c r="A83" t="s">
        <v>92</v>
      </c>
      <c r="B83" t="s">
        <v>9</v>
      </c>
      <c r="C83">
        <v>0.13074949999999999</v>
      </c>
      <c r="D83">
        <v>8.46417E-2</v>
      </c>
      <c r="E83">
        <v>0.2153912</v>
      </c>
      <c r="F83">
        <v>1909055.422</v>
      </c>
      <c r="G83" s="1">
        <v>1.08E-14</v>
      </c>
      <c r="H83">
        <v>36</v>
      </c>
      <c r="J83" s="3" t="s">
        <v>190</v>
      </c>
      <c r="M83" s="1">
        <f t="shared" si="1"/>
        <v>0.21060000010766089</v>
      </c>
    </row>
    <row r="84" spans="1:13" x14ac:dyDescent="0.2">
      <c r="A84" t="s">
        <v>93</v>
      </c>
      <c r="B84" t="s">
        <v>9</v>
      </c>
      <c r="C84">
        <v>4.2609500000000002E-2</v>
      </c>
      <c r="D84">
        <v>5.1260300000000002E-2</v>
      </c>
      <c r="E84">
        <v>9.3869800000000003E-2</v>
      </c>
      <c r="F84">
        <v>1920098.2109999999</v>
      </c>
      <c r="G84" s="1">
        <v>5.2499999999999997E-21</v>
      </c>
      <c r="H84">
        <v>44</v>
      </c>
      <c r="J84" s="2" t="s">
        <v>191</v>
      </c>
      <c r="M84" s="1">
        <f t="shared" si="1"/>
        <v>4.9999984912574291E-4</v>
      </c>
    </row>
    <row r="85" spans="1:13" x14ac:dyDescent="0.2">
      <c r="A85" t="s">
        <v>94</v>
      </c>
      <c r="B85" t="s">
        <v>9</v>
      </c>
      <c r="C85">
        <v>0.18574280000000001</v>
      </c>
      <c r="D85">
        <v>0.1125953</v>
      </c>
      <c r="E85">
        <v>0.29833809999999999</v>
      </c>
      <c r="F85">
        <v>1470187.923</v>
      </c>
      <c r="G85" s="1">
        <v>1.56E-16</v>
      </c>
      <c r="H85">
        <v>47</v>
      </c>
      <c r="J85" s="3" t="s">
        <v>192</v>
      </c>
      <c r="M85" s="1">
        <f t="shared" si="1"/>
        <v>3.7000000011175871E-3</v>
      </c>
    </row>
    <row r="86" spans="1:13" x14ac:dyDescent="0.2">
      <c r="A86" t="s">
        <v>95</v>
      </c>
      <c r="B86" t="s">
        <v>9</v>
      </c>
      <c r="C86">
        <v>5.24506E-2</v>
      </c>
      <c r="D86">
        <v>3.7733500000000003E-2</v>
      </c>
      <c r="E86">
        <v>9.0184100000000003E-2</v>
      </c>
      <c r="F86">
        <v>1489236.2709999999</v>
      </c>
      <c r="G86" s="1">
        <v>9.7399999999999997E-15</v>
      </c>
      <c r="H86">
        <v>33</v>
      </c>
      <c r="J86" s="2" t="s">
        <v>193</v>
      </c>
      <c r="M86" s="1">
        <f t="shared" si="1"/>
        <v>0.1365999998524785</v>
      </c>
    </row>
    <row r="87" spans="1:13" x14ac:dyDescent="0.2">
      <c r="A87" t="s">
        <v>96</v>
      </c>
      <c r="B87" t="s">
        <v>9</v>
      </c>
      <c r="C87">
        <v>6.7073800000000003E-2</v>
      </c>
      <c r="D87">
        <v>7.56019E-2</v>
      </c>
      <c r="E87">
        <v>0.14267569999999999</v>
      </c>
      <c r="F87">
        <v>15394395.76</v>
      </c>
      <c r="G87" s="1">
        <v>1.4599999999999999E-14</v>
      </c>
      <c r="H87">
        <v>45</v>
      </c>
      <c r="J87" s="3" t="s">
        <v>194</v>
      </c>
      <c r="M87" s="1">
        <f t="shared" si="1"/>
        <v>33.575999999418855</v>
      </c>
    </row>
    <row r="88" spans="1:13" x14ac:dyDescent="0.2">
      <c r="A88" t="s">
        <v>97</v>
      </c>
      <c r="B88" t="s">
        <v>9</v>
      </c>
      <c r="C88">
        <v>4.4903E-3</v>
      </c>
      <c r="D88">
        <v>2.8483499999999998E-2</v>
      </c>
      <c r="E88">
        <v>3.2973799999999998E-2</v>
      </c>
      <c r="F88">
        <v>-251.2669501</v>
      </c>
      <c r="G88" s="1">
        <v>3.4500000000000001E-15</v>
      </c>
      <c r="H88">
        <v>38</v>
      </c>
      <c r="J88" s="2" t="s">
        <v>195</v>
      </c>
      <c r="M88" s="1">
        <f t="shared" si="1"/>
        <v>1.089999983605594E-6</v>
      </c>
    </row>
    <row r="89" spans="1:13" x14ac:dyDescent="0.2">
      <c r="A89" t="s">
        <v>98</v>
      </c>
      <c r="B89" t="s">
        <v>9</v>
      </c>
      <c r="C89">
        <v>1.04552E-2</v>
      </c>
      <c r="D89">
        <v>2.92508E-2</v>
      </c>
      <c r="E89">
        <v>3.9705999999999998E-2</v>
      </c>
      <c r="F89">
        <v>1257.699525</v>
      </c>
      <c r="G89" s="1">
        <v>1.06E-14</v>
      </c>
      <c r="H89">
        <v>45</v>
      </c>
      <c r="J89" s="3" t="s">
        <v>196</v>
      </c>
      <c r="M89" s="1">
        <f t="shared" si="1"/>
        <v>2.5000000050567905E-5</v>
      </c>
    </row>
    <row r="90" spans="1:13" x14ac:dyDescent="0.2">
      <c r="A90" t="s">
        <v>99</v>
      </c>
      <c r="B90" t="s">
        <v>9</v>
      </c>
      <c r="C90">
        <v>1.6686099999999999E-2</v>
      </c>
      <c r="D90">
        <v>2.7225099999999999E-2</v>
      </c>
      <c r="E90">
        <v>4.3911199999999997E-2</v>
      </c>
      <c r="F90">
        <v>1257.699609</v>
      </c>
      <c r="G90" s="1">
        <v>6.4500000000000003E-15</v>
      </c>
      <c r="H90">
        <v>43</v>
      </c>
      <c r="J90" s="2" t="s">
        <v>100</v>
      </c>
      <c r="M90" s="1" t="e">
        <f t="shared" si="1"/>
        <v>#VALUE!</v>
      </c>
    </row>
    <row r="91" spans="1:13" x14ac:dyDescent="0.2">
      <c r="A91" t="s">
        <v>101</v>
      </c>
      <c r="B91" t="s">
        <v>9</v>
      </c>
      <c r="C91">
        <v>1.2373E-2</v>
      </c>
      <c r="D91">
        <v>3.6278999999999999E-2</v>
      </c>
      <c r="E91">
        <v>4.8652000000000001E-2</v>
      </c>
      <c r="F91">
        <v>1406.01756</v>
      </c>
      <c r="G91" s="1">
        <v>7.6199999999999998E-17</v>
      </c>
      <c r="H91">
        <v>54</v>
      </c>
      <c r="J91" s="3" t="s">
        <v>197</v>
      </c>
      <c r="M91" s="1">
        <f t="shared" si="1"/>
        <v>6.0000000075888238E-5</v>
      </c>
    </row>
    <row r="92" spans="1:13" x14ac:dyDescent="0.2">
      <c r="A92" t="s">
        <v>102</v>
      </c>
      <c r="B92" t="s">
        <v>9</v>
      </c>
      <c r="C92">
        <v>6.5450000000000003E-4</v>
      </c>
      <c r="D92">
        <v>3.9012999999999999E-3</v>
      </c>
      <c r="E92">
        <v>4.5557999999999996E-3</v>
      </c>
      <c r="F92">
        <v>-41131.976219999997</v>
      </c>
      <c r="G92" s="1">
        <v>4.7600000000000004E-16</v>
      </c>
      <c r="H92">
        <v>20</v>
      </c>
      <c r="J92" s="2" t="s">
        <v>198</v>
      </c>
      <c r="M92" s="1">
        <f t="shared" si="1"/>
        <v>-1.0000003385357559E-6</v>
      </c>
    </row>
    <row r="93" spans="1:13" x14ac:dyDescent="0.2">
      <c r="A93" t="s">
        <v>103</v>
      </c>
      <c r="B93" t="s">
        <v>9</v>
      </c>
      <c r="C93">
        <v>6.6860500000000003E-2</v>
      </c>
      <c r="D93">
        <v>6.7617499999999997E-2</v>
      </c>
      <c r="E93">
        <v>0.13447799999999999</v>
      </c>
      <c r="F93">
        <v>-39024.408539999997</v>
      </c>
      <c r="G93" s="1">
        <v>4.6800000000000001E-16</v>
      </c>
      <c r="H93">
        <v>42</v>
      </c>
      <c r="J93" s="3" t="s">
        <v>199</v>
      </c>
      <c r="M93" s="1">
        <f t="shared" si="1"/>
        <v>-1.9999934011138976E-6</v>
      </c>
    </row>
    <row r="94" spans="1:13" x14ac:dyDescent="0.2">
      <c r="A94" t="s">
        <v>104</v>
      </c>
      <c r="B94" t="s">
        <v>9</v>
      </c>
      <c r="C94">
        <v>2.7293957</v>
      </c>
      <c r="D94">
        <v>0.89683259999999998</v>
      </c>
      <c r="E94">
        <v>3.6262283000000002</v>
      </c>
      <c r="F94">
        <v>-39976.783940000001</v>
      </c>
      <c r="G94" s="1">
        <v>1.9899999999999999E-14</v>
      </c>
      <c r="H94">
        <v>68</v>
      </c>
      <c r="J94" s="2" t="s">
        <v>200</v>
      </c>
      <c r="M94" s="1">
        <f t="shared" si="1"/>
        <v>-0.12236400000256253</v>
      </c>
    </row>
    <row r="95" spans="1:13" x14ac:dyDescent="0.2">
      <c r="A95" t="s">
        <v>105</v>
      </c>
      <c r="B95" t="s">
        <v>9</v>
      </c>
      <c r="C95">
        <v>0.37585479999999999</v>
      </c>
      <c r="D95">
        <v>0.148704</v>
      </c>
      <c r="E95">
        <v>0.52455879999999999</v>
      </c>
      <c r="F95">
        <v>458815.96779999998</v>
      </c>
      <c r="G95" s="1">
        <v>1.07E-9</v>
      </c>
      <c r="H95">
        <v>29</v>
      </c>
      <c r="J95" s="3" t="s">
        <v>201</v>
      </c>
      <c r="M95" s="1">
        <f t="shared" si="1"/>
        <v>0.12060999998357147</v>
      </c>
    </row>
    <row r="96" spans="1:13" x14ac:dyDescent="0.2">
      <c r="A96" t="s">
        <v>106</v>
      </c>
      <c r="B96" t="s">
        <v>9</v>
      </c>
      <c r="C96">
        <v>3.8061000000000002E-3</v>
      </c>
      <c r="D96">
        <v>2.8279200000000001E-2</v>
      </c>
      <c r="E96">
        <v>3.2085299999999997E-2</v>
      </c>
      <c r="F96">
        <v>0.292147773</v>
      </c>
      <c r="G96" s="1">
        <v>4.8600000000000001E-15</v>
      </c>
      <c r="H96">
        <v>42</v>
      </c>
      <c r="J96" s="2" t="s">
        <v>202</v>
      </c>
      <c r="M96" s="1">
        <f t="shared" si="1"/>
        <v>7.9099999883425198E-9</v>
      </c>
    </row>
    <row r="97" spans="1:13" x14ac:dyDescent="0.2">
      <c r="A97" t="s">
        <v>107</v>
      </c>
      <c r="B97" t="s">
        <v>9</v>
      </c>
      <c r="C97">
        <v>2.9437999999999999E-3</v>
      </c>
      <c r="D97">
        <v>4.1438999999999998E-3</v>
      </c>
      <c r="E97">
        <v>7.0876999999999997E-3</v>
      </c>
      <c r="F97">
        <v>129831.46249999999</v>
      </c>
      <c r="G97" s="1">
        <v>4.0100000000000001E-25</v>
      </c>
      <c r="H97">
        <v>23</v>
      </c>
      <c r="J97" s="3" t="s">
        <v>203</v>
      </c>
      <c r="M97" s="1">
        <f t="shared" si="1"/>
        <v>3.9999998989515007E-5</v>
      </c>
    </row>
    <row r="98" spans="1:13" x14ac:dyDescent="0.2">
      <c r="A98" t="s">
        <v>108</v>
      </c>
      <c r="B98" t="s">
        <v>9</v>
      </c>
      <c r="C98">
        <v>6.8109699999999995E-2</v>
      </c>
      <c r="D98">
        <v>0.38883089999999998</v>
      </c>
      <c r="E98">
        <v>0.45694059999999997</v>
      </c>
      <c r="F98">
        <v>1.442902412</v>
      </c>
      <c r="G98" s="1">
        <v>1.81E-18</v>
      </c>
      <c r="H98">
        <v>58</v>
      </c>
      <c r="J98" s="2" t="s">
        <v>204</v>
      </c>
      <c r="M98" s="1">
        <f t="shared" si="1"/>
        <v>4.000000330961484E-10</v>
      </c>
    </row>
    <row r="99" spans="1:13" x14ac:dyDescent="0.2">
      <c r="A99" t="s">
        <v>109</v>
      </c>
      <c r="B99" t="s">
        <v>9</v>
      </c>
      <c r="C99">
        <v>0.33545259999999999</v>
      </c>
      <c r="D99">
        <v>0.5264548</v>
      </c>
      <c r="E99">
        <v>0.86190739999999999</v>
      </c>
      <c r="F99">
        <v>1.304476336</v>
      </c>
      <c r="G99" s="1">
        <v>1.66E-15</v>
      </c>
      <c r="H99">
        <v>88</v>
      </c>
      <c r="J99" s="3" t="s">
        <v>205</v>
      </c>
      <c r="M99" s="1">
        <f t="shared" si="1"/>
        <v>2.900000017902471E-9</v>
      </c>
    </row>
  </sheetData>
  <phoneticPr fontId="18" type="noConversion"/>
  <pageMargins left="0.7" right="0.7" top="0.75" bottom="0.75" header="0.3" footer="0.3"/>
  <pageSetup paperSize="9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lp_results_2x2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Happy Hu</cp:lastModifiedBy>
  <cp:lastPrinted>2025-06-07T03:28:00Z</cp:lastPrinted>
  <dcterms:created xsi:type="dcterms:W3CDTF">2025-06-07T03:28:09Z</dcterms:created>
  <dcterms:modified xsi:type="dcterms:W3CDTF">2025-06-07T03:28:09Z</dcterms:modified>
</cp:coreProperties>
</file>