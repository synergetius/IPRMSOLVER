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OPT2025\iprm-test-2\"/>
    </mc:Choice>
  </mc:AlternateContent>
  <xr:revisionPtr revIDLastSave="0" documentId="8_{47866D0D-2974-46A9-B7F5-BF2234477C50}" xr6:coauthVersionLast="47" xr6:coauthVersionMax="47" xr10:uidLastSave="{00000000-0000-0000-0000-000000000000}"/>
  <bookViews>
    <workbookView xWindow="-120" yWindow="-120" windowWidth="29040" windowHeight="17640" xr2:uid="{414A3EBF-09C6-448C-B6D5-3759590112C0}"/>
  </bookViews>
  <sheets>
    <sheet name="lp_results_3x3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2" i="1"/>
</calcChain>
</file>

<file path=xl/sharedStrings.xml><?xml version="1.0" encoding="utf-8"?>
<sst xmlns="http://schemas.openxmlformats.org/spreadsheetml/2006/main" count="302" uniqueCount="205">
  <si>
    <t>test</t>
  </si>
  <si>
    <t>status</t>
  </si>
  <si>
    <t>setup_time</t>
  </si>
  <si>
    <t>solve_time</t>
  </si>
  <si>
    <t>run_time</t>
  </si>
  <si>
    <t>obj</t>
  </si>
  <si>
    <t>phi</t>
  </si>
  <si>
    <t>iters</t>
  </si>
  <si>
    <t>lp_25fv47</t>
  </si>
  <si>
    <t>QOCO_SOLVED</t>
  </si>
  <si>
    <t>lp_80bau3b</t>
  </si>
  <si>
    <t>lp_adlittle</t>
  </si>
  <si>
    <t>lp_afiro</t>
  </si>
  <si>
    <t>lp_agg</t>
  </si>
  <si>
    <t>lp_agg2</t>
  </si>
  <si>
    <t>lp_agg3</t>
  </si>
  <si>
    <t>lp_bandm</t>
  </si>
  <si>
    <t>lp_beaconfd</t>
  </si>
  <si>
    <t>lp_blend</t>
  </si>
  <si>
    <t>lp_bnl1</t>
  </si>
  <si>
    <t>lp_bnl2</t>
  </si>
  <si>
    <t>lp_boeing1</t>
  </si>
  <si>
    <t>lp_boeing2</t>
  </si>
  <si>
    <t>lp_bore3d</t>
  </si>
  <si>
    <t>lp_brandy</t>
  </si>
  <si>
    <t>lp_capri</t>
  </si>
  <si>
    <t>lp_cycle</t>
  </si>
  <si>
    <t>lp_czprob</t>
  </si>
  <si>
    <t>lp_d2q06c</t>
  </si>
  <si>
    <t>lp_d6cube</t>
  </si>
  <si>
    <t>lp_degen2</t>
  </si>
  <si>
    <t>lp_degen3</t>
  </si>
  <si>
    <t>lp_dfl001</t>
  </si>
  <si>
    <t>lp_e226</t>
  </si>
  <si>
    <t>lp_etamacro</t>
  </si>
  <si>
    <t>lp_fffff800</t>
  </si>
  <si>
    <t>lp_finnis</t>
  </si>
  <si>
    <t>lp_fit1d</t>
  </si>
  <si>
    <t>lp_fit1p</t>
  </si>
  <si>
    <t>lp_fit2d</t>
  </si>
  <si>
    <t>lp_fit2p</t>
  </si>
  <si>
    <t>lp_forplan</t>
  </si>
  <si>
    <t>lp_ganges</t>
  </si>
  <si>
    <t>lp_gfrd_pnc</t>
  </si>
  <si>
    <t>lp_greenbea</t>
  </si>
  <si>
    <t>lp_greenbeb</t>
  </si>
  <si>
    <t>lp_grow15</t>
  </si>
  <si>
    <t>QOCO_MAX_ITER</t>
  </si>
  <si>
    <t>lp_grow22</t>
  </si>
  <si>
    <t>lp_grow7</t>
  </si>
  <si>
    <t>lp_israel</t>
  </si>
  <si>
    <t>lp_kb2</t>
  </si>
  <si>
    <t>lp_lotfi</t>
  </si>
  <si>
    <t>lp_maros</t>
  </si>
  <si>
    <t>lp_maros_r7</t>
  </si>
  <si>
    <t>lp_modszk1</t>
  </si>
  <si>
    <t>lp_nesm</t>
  </si>
  <si>
    <t>lp_perold</t>
  </si>
  <si>
    <t>lp_pilot</t>
  </si>
  <si>
    <t>lp_pilot4</t>
  </si>
  <si>
    <t>lp_pilot87</t>
  </si>
  <si>
    <t>lp_pilot_ja</t>
  </si>
  <si>
    <t>lp_pilot_we</t>
  </si>
  <si>
    <t>lp_pilotnov</t>
  </si>
  <si>
    <t>lp_qap12</t>
  </si>
  <si>
    <t>lp_qap15</t>
  </si>
  <si>
    <t>lp_qap8</t>
  </si>
  <si>
    <t>lp_recipe</t>
  </si>
  <si>
    <t>lp_sc105</t>
  </si>
  <si>
    <t>lp_sc205</t>
  </si>
  <si>
    <t>lp_sc50a</t>
  </si>
  <si>
    <t>lp_sc50b</t>
  </si>
  <si>
    <t>lp_scagr25</t>
  </si>
  <si>
    <t>lp_scagr7</t>
  </si>
  <si>
    <t>lp_scfxm1</t>
  </si>
  <si>
    <t>lp_scfxm2</t>
  </si>
  <si>
    <t>lp_scfxm3</t>
  </si>
  <si>
    <t>lp_scorpion</t>
  </si>
  <si>
    <t>lp_scrs8</t>
  </si>
  <si>
    <t>lp_scsd1</t>
  </si>
  <si>
    <t>lp_scsd6</t>
  </si>
  <si>
    <t>lp_scsd8</t>
  </si>
  <si>
    <t>lp_sctap1</t>
  </si>
  <si>
    <t>lp_sctap2</t>
  </si>
  <si>
    <t>lp_sctap3</t>
  </si>
  <si>
    <t>lp_seba</t>
  </si>
  <si>
    <t>lp_share1b</t>
  </si>
  <si>
    <t>lp_share2b</t>
  </si>
  <si>
    <t>lp_shell</t>
  </si>
  <si>
    <t>lp_ship04l</t>
  </si>
  <si>
    <t>lp_ship04s</t>
  </si>
  <si>
    <t>lp_ship08l</t>
  </si>
  <si>
    <t>lp_ship08s</t>
  </si>
  <si>
    <t>lp_ship12l</t>
  </si>
  <si>
    <t>lp_ship12s</t>
  </si>
  <si>
    <t>lp_sierra</t>
  </si>
  <si>
    <t>lp_stair</t>
  </si>
  <si>
    <t>lp_standata</t>
  </si>
  <si>
    <t>lp_standgub</t>
  </si>
  <si>
    <t>-</t>
  </si>
  <si>
    <t>lp_standmps</t>
  </si>
  <si>
    <t>lp_stocfor1</t>
  </si>
  <si>
    <t>lp_stocfor2</t>
  </si>
  <si>
    <t>lp_stocfor3</t>
  </si>
  <si>
    <t>lp_truss</t>
  </si>
  <si>
    <t>lp_tuff</t>
  </si>
  <si>
    <t>lp_vtp_base</t>
  </si>
  <si>
    <t>lp_wood1p</t>
  </si>
  <si>
    <t>lp_woodw</t>
  </si>
  <si>
    <t>5.5018458883E+03</t>
  </si>
  <si>
    <t>9.8723216072E+05</t>
  </si>
  <si>
    <t>2.2549496316E+05</t>
  </si>
  <si>
    <t>-4.6475314286E+02</t>
  </si>
  <si>
    <t>-3.5991767287E+07</t>
  </si>
  <si>
    <t>-2.0239252356E+07</t>
  </si>
  <si>
    <t>1.0312115935E+07</t>
  </si>
  <si>
    <t>-1.5862801845E+02</t>
  </si>
  <si>
    <t>3.3592485807E+04</t>
  </si>
  <si>
    <t>-3.0812149846E+01</t>
  </si>
  <si>
    <t>1.9776292856E+03</t>
  </si>
  <si>
    <t>1.8112365404E+03</t>
  </si>
  <si>
    <t>-3.3521356751E+02</t>
  </si>
  <si>
    <t>-3.1501872802E+02</t>
  </si>
  <si>
    <t>1.3730803942E+03</t>
  </si>
  <si>
    <t>1.5185098965E+03</t>
  </si>
  <si>
    <t>2.6900129138E+03</t>
  </si>
  <si>
    <t>-5.2263930249E+00</t>
  </si>
  <si>
    <t>2.1851966989E+06</t>
  </si>
  <si>
    <t>1.2278423615E+05</t>
  </si>
  <si>
    <t>3.1549166667E+02</t>
  </si>
  <si>
    <t>-1.4351780000E+03</t>
  </si>
  <si>
    <t>-9.8729400000E+02</t>
  </si>
  <si>
    <t>1.12664E+07</t>
  </si>
  <si>
    <t>-1.8751929066E+01</t>
  </si>
  <si>
    <t>-7.5571521774E+02</t>
  </si>
  <si>
    <t>5.5567961165E+05</t>
  </si>
  <si>
    <t>1.7279096547E+05</t>
  </si>
  <si>
    <t>-9.1463780924E+03</t>
  </si>
  <si>
    <t>9.1463780924E+03</t>
  </si>
  <si>
    <t>-6.8464293294E+04</t>
  </si>
  <si>
    <t>6.8464293232E+04</t>
  </si>
  <si>
    <t>-6.6421873953E+02</t>
  </si>
  <si>
    <t>-1.0958636356E+05</t>
  </si>
  <si>
    <t>6.9022359995E+06</t>
  </si>
  <si>
    <t>-7.2462405908E+07</t>
  </si>
  <si>
    <t>-4.3021476065E+06</t>
  </si>
  <si>
    <t>-1.0687094129E+08</t>
  </si>
  <si>
    <t>-1.6083433648E+08</t>
  </si>
  <si>
    <t>-4.7787811815E+07</t>
  </si>
  <si>
    <t>-8.9664482186E+05</t>
  </si>
  <si>
    <t>-1.7499001299E+03</t>
  </si>
  <si>
    <t>-2.5264706062E+01</t>
  </si>
  <si>
    <t>-5.8063743701E+04</t>
  </si>
  <si>
    <t>1.4971851665E+06</t>
  </si>
  <si>
    <t>3.2061972906E+02</t>
  </si>
  <si>
    <t>1.4076073035E+07</t>
  </si>
  <si>
    <t>-9.3807580773E+03</t>
  </si>
  <si>
    <t>-5.5740430007E+02</t>
  </si>
  <si>
    <t>-6.1131344111E+03</t>
  </si>
  <si>
    <t>-2.7201027439E+06</t>
  </si>
  <si>
    <t>-2.5811392641E+03</t>
  </si>
  <si>
    <t>3.0171072827E+02</t>
  </si>
  <si>
    <t>-4.4972761882E+03</t>
  </si>
  <si>
    <t>2.0350000000E+02</t>
  </si>
  <si>
    <t>5.2289435056E+02</t>
  </si>
  <si>
    <t>1.0409940410E+03</t>
  </si>
  <si>
    <t>-2.6661600000E+02</t>
  </si>
  <si>
    <t>-5.2202061212E+01</t>
  </si>
  <si>
    <t>-6.4575077059E+01</t>
  </si>
  <si>
    <t>-7.0000000000E+01</t>
  </si>
  <si>
    <t>-1.4753433061E+07</t>
  </si>
  <si>
    <t>-2.3313892548E+06</t>
  </si>
  <si>
    <t>1.8416759028E+04</t>
  </si>
  <si>
    <t>3.6660261565E+04</t>
  </si>
  <si>
    <t>5.4901254550E+04</t>
  </si>
  <si>
    <t>1.8781248227E+03</t>
  </si>
  <si>
    <t>9.0429998619E+02</t>
  </si>
  <si>
    <t>8.6666666743E+00</t>
  </si>
  <si>
    <t>5.0500000078E+01</t>
  </si>
  <si>
    <t>9.0499999993E+02</t>
  </si>
  <si>
    <t>1.4122500000E+03</t>
  </si>
  <si>
    <t>1.7248071429E+03</t>
  </si>
  <si>
    <t>1.4240000000E+03</t>
  </si>
  <si>
    <t>1.5711600000E+04</t>
  </si>
  <si>
    <t>-7.6589318579E+04</t>
  </si>
  <si>
    <t>-4.1573224074E+02</t>
  </si>
  <si>
    <t>1.2088253460E+09</t>
  </si>
  <si>
    <t>1.7933245380E+06</t>
  </si>
  <si>
    <t>1.7987147004E+06</t>
  </si>
  <si>
    <t>1.9090552114E+06</t>
  </si>
  <si>
    <t>1.9200982105E+06</t>
  </si>
  <si>
    <t>1.4701879193E+06</t>
  </si>
  <si>
    <t>1.4892361344E+06</t>
  </si>
  <si>
    <t>1.5394362184E+07</t>
  </si>
  <si>
    <t>-2.5126695119E+02</t>
  </si>
  <si>
    <t>1.2576995000E+03</t>
  </si>
  <si>
    <t>1.4060175000E+03</t>
  </si>
  <si>
    <t>-4.1131976219E+04</t>
  </si>
  <si>
    <t>-3.9024408538E+04</t>
  </si>
  <si>
    <t>-3.9976661576E+04</t>
  </si>
  <si>
    <t>4.5881584719E+05</t>
  </si>
  <si>
    <t>2.9214776509E-01</t>
  </si>
  <si>
    <t>1.2983146246E+05</t>
  </si>
  <si>
    <t>1.4429024116E+00</t>
  </si>
  <si>
    <t>1.3044763331E+00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</si>
</sst>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10" xfId="0" applyBorder="1" applyAlignment="1"/>
    <xf numFmtId="0" fontId="0" fillId="33" borderId="10" xfId="0" applyFill="1" applyBorder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85D5-A10B-4130-BB7E-31314B2B7F0C}">
  <dimension ref="A1:M99"/>
  <sheetViews>
    <sheetView tabSelected="1" topLeftCell="A55" workbookViewId="0">
      <selection activeCell="O84" sqref="O84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">
      <c r="A2" t="s">
        <v>8</v>
      </c>
      <c r="B2" t="s">
        <v>9</v>
      </c>
      <c r="C2">
        <v>1.15998E-2</v>
      </c>
      <c r="D2">
        <v>0.1675083</v>
      </c>
      <c r="E2">
        <v>0.17910809999999999</v>
      </c>
      <c r="F2">
        <v>5504.015711</v>
      </c>
      <c r="G2" s="1">
        <v>5.5899999999999998E-8</v>
      </c>
      <c r="H2">
        <v>45</v>
      </c>
      <c r="J2" s="2" t="s">
        <v>109</v>
      </c>
      <c r="M2">
        <f>F2-J2</f>
        <v>2.1698226999997132</v>
      </c>
    </row>
    <row r="3" spans="1:13" x14ac:dyDescent="0.2">
      <c r="A3" t="s">
        <v>10</v>
      </c>
      <c r="B3" t="s">
        <v>9</v>
      </c>
      <c r="C3">
        <v>6.0651999999999998E-2</v>
      </c>
      <c r="D3">
        <v>0.48481249999999998</v>
      </c>
      <c r="E3">
        <v>0.54546450000000002</v>
      </c>
      <c r="F3">
        <v>994991.69</v>
      </c>
      <c r="G3" s="1">
        <v>7.7499999999999999E-8</v>
      </c>
      <c r="H3">
        <v>63</v>
      </c>
      <c r="J3" s="3" t="s">
        <v>110</v>
      </c>
      <c r="M3">
        <f t="shared" ref="M3:M66" si="0">F3-J3</f>
        <v>7759.5292799999006</v>
      </c>
    </row>
    <row r="4" spans="1:13" x14ac:dyDescent="0.2">
      <c r="A4" t="s">
        <v>11</v>
      </c>
      <c r="B4" t="s">
        <v>9</v>
      </c>
      <c r="C4">
        <v>5.1469999999999999E-4</v>
      </c>
      <c r="D4">
        <v>2.1037999999999999E-3</v>
      </c>
      <c r="E4">
        <v>2.6185000000000002E-3</v>
      </c>
      <c r="F4">
        <v>225498.44930000001</v>
      </c>
      <c r="G4" s="1">
        <v>2.3899999999999998E-9</v>
      </c>
      <c r="H4">
        <v>24</v>
      </c>
      <c r="J4" s="2" t="s">
        <v>111</v>
      </c>
      <c r="M4">
        <f t="shared" si="0"/>
        <v>3.4861399999936111</v>
      </c>
    </row>
    <row r="5" spans="1:13" x14ac:dyDescent="0.2">
      <c r="A5" t="s">
        <v>12</v>
      </c>
      <c r="B5" t="s">
        <v>9</v>
      </c>
      <c r="C5">
        <v>1.064E-4</v>
      </c>
      <c r="D5">
        <v>7.917E-4</v>
      </c>
      <c r="E5">
        <v>8.9809999999999998E-4</v>
      </c>
      <c r="F5">
        <v>-464.7517168</v>
      </c>
      <c r="G5" s="1">
        <v>3.2099999999999999E-12</v>
      </c>
      <c r="H5">
        <v>11</v>
      </c>
      <c r="J5" s="3" t="s">
        <v>112</v>
      </c>
      <c r="M5">
        <f t="shared" si="0"/>
        <v>1.4260600000284285E-3</v>
      </c>
    </row>
    <row r="6" spans="1:13" x14ac:dyDescent="0.2">
      <c r="A6" t="s">
        <v>13</v>
      </c>
      <c r="B6" t="s">
        <v>9</v>
      </c>
      <c r="C6">
        <v>1.7417000000000001E-3</v>
      </c>
      <c r="D6">
        <v>1.7687700000000001E-2</v>
      </c>
      <c r="E6">
        <v>1.9429399999999999E-2</v>
      </c>
      <c r="F6">
        <v>-35715353.509999998</v>
      </c>
      <c r="G6" s="1">
        <v>3.47E-8</v>
      </c>
      <c r="H6">
        <v>25</v>
      </c>
      <c r="J6" s="2" t="s">
        <v>113</v>
      </c>
      <c r="M6">
        <f t="shared" si="0"/>
        <v>276413.77700000256</v>
      </c>
    </row>
    <row r="7" spans="1:13" x14ac:dyDescent="0.2">
      <c r="A7" t="s">
        <v>14</v>
      </c>
      <c r="B7" t="s">
        <v>9</v>
      </c>
      <c r="C7">
        <v>2.0856E-3</v>
      </c>
      <c r="D7">
        <v>4.4437400000000002E-2</v>
      </c>
      <c r="E7">
        <v>4.6523000000000002E-2</v>
      </c>
      <c r="F7">
        <v>-19106663.469999999</v>
      </c>
      <c r="G7" s="1">
        <v>2.85E-8</v>
      </c>
      <c r="H7">
        <v>25</v>
      </c>
      <c r="J7" s="3" t="s">
        <v>114</v>
      </c>
      <c r="M7">
        <f t="shared" si="0"/>
        <v>1132588.8859999999</v>
      </c>
    </row>
    <row r="8" spans="1:13" x14ac:dyDescent="0.2">
      <c r="A8" t="s">
        <v>15</v>
      </c>
      <c r="B8" t="s">
        <v>9</v>
      </c>
      <c r="C8">
        <v>2.1294E-3</v>
      </c>
      <c r="D8">
        <v>4.3028499999999997E-2</v>
      </c>
      <c r="E8">
        <v>4.5157900000000001E-2</v>
      </c>
      <c r="F8">
        <v>11693743.51</v>
      </c>
      <c r="G8" s="1">
        <v>3.0500000000000002E-8</v>
      </c>
      <c r="H8">
        <v>25</v>
      </c>
      <c r="J8" s="2" t="s">
        <v>115</v>
      </c>
      <c r="M8">
        <f t="shared" si="0"/>
        <v>1381627.5749999993</v>
      </c>
    </row>
    <row r="9" spans="1:13" x14ac:dyDescent="0.2">
      <c r="A9" t="s">
        <v>16</v>
      </c>
      <c r="B9" t="s">
        <v>9</v>
      </c>
      <c r="C9">
        <v>1.1838E-3</v>
      </c>
      <c r="D9">
        <v>1.18026E-2</v>
      </c>
      <c r="E9">
        <v>1.29864E-2</v>
      </c>
      <c r="F9">
        <v>-158.6047518</v>
      </c>
      <c r="G9" s="1">
        <v>1.0099999999999999E-8</v>
      </c>
      <c r="H9">
        <v>26</v>
      </c>
      <c r="J9" s="3" t="s">
        <v>116</v>
      </c>
      <c r="M9">
        <f t="shared" si="0"/>
        <v>2.3266650000010713E-2</v>
      </c>
    </row>
    <row r="10" spans="1:13" x14ac:dyDescent="0.2">
      <c r="A10" t="s">
        <v>17</v>
      </c>
      <c r="B10" t="s">
        <v>9</v>
      </c>
      <c r="C10">
        <v>1.0319000000000001E-3</v>
      </c>
      <c r="D10">
        <v>6.5801999999999996E-3</v>
      </c>
      <c r="E10">
        <v>7.6121000000000001E-3</v>
      </c>
      <c r="F10">
        <v>33606.874839999997</v>
      </c>
      <c r="G10" s="1">
        <v>4.1700000000000003E-8</v>
      </c>
      <c r="H10">
        <v>19</v>
      </c>
      <c r="J10" s="2" t="s">
        <v>117</v>
      </c>
      <c r="M10">
        <f t="shared" si="0"/>
        <v>14.389032999999472</v>
      </c>
    </row>
    <row r="11" spans="1:13" x14ac:dyDescent="0.2">
      <c r="A11" t="s">
        <v>18</v>
      </c>
      <c r="B11" t="s">
        <v>9</v>
      </c>
      <c r="C11">
        <v>3.746E-4</v>
      </c>
      <c r="D11">
        <v>2.0825000000000001E-3</v>
      </c>
      <c r="E11">
        <v>2.4570999999999998E-3</v>
      </c>
      <c r="F11">
        <v>-30.811684830000001</v>
      </c>
      <c r="G11" s="1">
        <v>4.9799999999999998E-9</v>
      </c>
      <c r="H11">
        <v>22</v>
      </c>
      <c r="J11" s="3" t="s">
        <v>118</v>
      </c>
      <c r="M11">
        <f t="shared" si="0"/>
        <v>4.6501599999970722E-4</v>
      </c>
    </row>
    <row r="12" spans="1:13" x14ac:dyDescent="0.2">
      <c r="A12" t="s">
        <v>19</v>
      </c>
      <c r="B12" t="s">
        <v>9</v>
      </c>
      <c r="C12">
        <v>3.4916000000000001E-3</v>
      </c>
      <c r="D12">
        <v>6.0095799999999998E-2</v>
      </c>
      <c r="E12">
        <v>6.3587400000000002E-2</v>
      </c>
      <c r="F12">
        <v>1979.627121</v>
      </c>
      <c r="G12" s="1">
        <v>7.9300000000000002E-8</v>
      </c>
      <c r="H12">
        <v>46</v>
      </c>
      <c r="J12" s="2" t="s">
        <v>119</v>
      </c>
      <c r="M12">
        <f t="shared" si="0"/>
        <v>1.9978353999999854</v>
      </c>
    </row>
    <row r="13" spans="1:13" x14ac:dyDescent="0.2">
      <c r="A13" t="s">
        <v>20</v>
      </c>
      <c r="B13" t="s">
        <v>9</v>
      </c>
      <c r="C13">
        <v>1.15403E-2</v>
      </c>
      <c r="D13">
        <v>0.4571558</v>
      </c>
      <c r="E13">
        <v>0.4686961</v>
      </c>
      <c r="F13">
        <v>1849.6456350000001</v>
      </c>
      <c r="G13" s="1">
        <v>8.4299999999999994E-8</v>
      </c>
      <c r="H13">
        <v>46</v>
      </c>
      <c r="J13" s="3" t="s">
        <v>120</v>
      </c>
      <c r="M13">
        <f t="shared" si="0"/>
        <v>38.409094600000117</v>
      </c>
    </row>
    <row r="14" spans="1:13" x14ac:dyDescent="0.2">
      <c r="A14" t="s">
        <v>21</v>
      </c>
      <c r="B14" t="s">
        <v>9</v>
      </c>
      <c r="C14">
        <v>2.2961000000000001E-3</v>
      </c>
      <c r="D14">
        <v>2.6125099999999998E-2</v>
      </c>
      <c r="E14">
        <v>2.8421200000000001E-2</v>
      </c>
      <c r="F14">
        <v>-335.19171089999998</v>
      </c>
      <c r="G14" s="1">
        <v>7.0999999999999999E-9</v>
      </c>
      <c r="H14">
        <v>36</v>
      </c>
      <c r="J14" s="2" t="s">
        <v>121</v>
      </c>
      <c r="M14">
        <f t="shared" si="0"/>
        <v>2.185661000004302E-2</v>
      </c>
    </row>
    <row r="15" spans="1:13" x14ac:dyDescent="0.2">
      <c r="A15" t="s">
        <v>22</v>
      </c>
      <c r="B15" t="s">
        <v>9</v>
      </c>
      <c r="C15">
        <v>7.5310000000000004E-4</v>
      </c>
      <c r="D15">
        <v>5.7692999999999998E-3</v>
      </c>
      <c r="E15">
        <v>6.5224000000000002E-3</v>
      </c>
      <c r="F15">
        <v>-314.72441149999997</v>
      </c>
      <c r="G15" s="1">
        <v>6.8200000000000002E-8</v>
      </c>
      <c r="H15">
        <v>24</v>
      </c>
      <c r="J15" s="3" t="s">
        <v>122</v>
      </c>
      <c r="M15">
        <f t="shared" si="0"/>
        <v>0.29431652000005215</v>
      </c>
    </row>
    <row r="16" spans="1:13" x14ac:dyDescent="0.2">
      <c r="A16" t="s">
        <v>23</v>
      </c>
      <c r="B16" t="s">
        <v>9</v>
      </c>
      <c r="C16">
        <v>9.4019999999999998E-4</v>
      </c>
      <c r="D16">
        <v>9.4006999999999997E-3</v>
      </c>
      <c r="E16">
        <v>1.03409E-2</v>
      </c>
      <c r="F16">
        <v>1373.0874240000001</v>
      </c>
      <c r="G16" s="1">
        <v>4.8699999999999999E-8</v>
      </c>
      <c r="H16">
        <v>29</v>
      </c>
      <c r="J16" s="2" t="s">
        <v>123</v>
      </c>
      <c r="M16">
        <f t="shared" si="0"/>
        <v>7.02980000005482E-3</v>
      </c>
    </row>
    <row r="17" spans="1:13" x14ac:dyDescent="0.2">
      <c r="A17" t="s">
        <v>24</v>
      </c>
      <c r="B17" t="s">
        <v>9</v>
      </c>
      <c r="C17">
        <v>8.0519999999999995E-4</v>
      </c>
      <c r="D17">
        <v>9.1661999999999993E-3</v>
      </c>
      <c r="E17">
        <v>9.9714000000000001E-3</v>
      </c>
      <c r="F17">
        <v>1518.5238280000001</v>
      </c>
      <c r="G17" s="1">
        <v>5.2000000000000002E-9</v>
      </c>
      <c r="H17">
        <v>27</v>
      </c>
      <c r="J17" s="3" t="s">
        <v>124</v>
      </c>
      <c r="M17">
        <f t="shared" si="0"/>
        <v>1.3931500000126107E-2</v>
      </c>
    </row>
    <row r="18" spans="1:13" x14ac:dyDescent="0.2">
      <c r="A18" t="s">
        <v>25</v>
      </c>
      <c r="B18" t="s">
        <v>9</v>
      </c>
      <c r="C18">
        <v>1.4553999999999999E-3</v>
      </c>
      <c r="D18">
        <v>1.8750800000000001E-2</v>
      </c>
      <c r="E18">
        <v>2.0206200000000001E-2</v>
      </c>
      <c r="F18">
        <v>2690.0214850000002</v>
      </c>
      <c r="G18" s="1">
        <v>3.7399999999999999E-9</v>
      </c>
      <c r="H18">
        <v>35</v>
      </c>
      <c r="J18" s="2" t="s">
        <v>125</v>
      </c>
      <c r="M18">
        <f t="shared" si="0"/>
        <v>8.5712000000057742E-3</v>
      </c>
    </row>
    <row r="19" spans="1:13" x14ac:dyDescent="0.2">
      <c r="A19" t="s">
        <v>26</v>
      </c>
      <c r="B19" t="s">
        <v>9</v>
      </c>
      <c r="C19">
        <v>1.0811400000000001E-2</v>
      </c>
      <c r="D19">
        <v>0.3314069</v>
      </c>
      <c r="E19">
        <v>0.34221829999999998</v>
      </c>
      <c r="F19">
        <v>-5.225086868</v>
      </c>
      <c r="G19" s="1">
        <v>6.0500000000000006E-8</v>
      </c>
      <c r="H19">
        <v>48</v>
      </c>
      <c r="J19" s="3" t="s">
        <v>126</v>
      </c>
      <c r="M19">
        <f t="shared" si="0"/>
        <v>1.3061569000001327E-3</v>
      </c>
    </row>
    <row r="20" spans="1:13" x14ac:dyDescent="0.2">
      <c r="A20" t="s">
        <v>27</v>
      </c>
      <c r="B20" t="s">
        <v>9</v>
      </c>
      <c r="C20">
        <v>1.2955599999999999E-2</v>
      </c>
      <c r="D20">
        <v>8.8733599999999996E-2</v>
      </c>
      <c r="E20">
        <v>0.10168919999999999</v>
      </c>
      <c r="F20">
        <v>2185435.9219999998</v>
      </c>
      <c r="G20" s="1">
        <v>4.1899999999999998E-8</v>
      </c>
      <c r="H20">
        <v>54</v>
      </c>
      <c r="J20" s="2" t="s">
        <v>127</v>
      </c>
      <c r="M20">
        <f t="shared" si="0"/>
        <v>239.22309999959543</v>
      </c>
    </row>
    <row r="21" spans="1:13" x14ac:dyDescent="0.2">
      <c r="A21" t="s">
        <v>28</v>
      </c>
      <c r="B21" t="s">
        <v>9</v>
      </c>
      <c r="C21">
        <v>2.4399000000000001E-2</v>
      </c>
      <c r="D21">
        <v>0.86514550000000001</v>
      </c>
      <c r="E21">
        <v>0.88954449999999996</v>
      </c>
      <c r="F21">
        <v>123072.1073</v>
      </c>
      <c r="G21" s="1">
        <v>8.2599999999999998E-8</v>
      </c>
      <c r="H21">
        <v>47</v>
      </c>
      <c r="J21" s="3" t="s">
        <v>128</v>
      </c>
      <c r="M21">
        <f t="shared" si="0"/>
        <v>287.87115000000631</v>
      </c>
    </row>
    <row r="22" spans="1:13" x14ac:dyDescent="0.2">
      <c r="A22" t="s">
        <v>29</v>
      </c>
      <c r="B22" t="s">
        <v>9</v>
      </c>
      <c r="C22">
        <v>2.2803500000000001E-2</v>
      </c>
      <c r="D22">
        <v>0.68366020000000005</v>
      </c>
      <c r="E22">
        <v>0.70646370000000003</v>
      </c>
      <c r="F22">
        <v>315.52600139999998</v>
      </c>
      <c r="G22" s="1">
        <v>1.4100000000000001E-8</v>
      </c>
      <c r="H22">
        <v>63</v>
      </c>
      <c r="J22" s="2" t="s">
        <v>129</v>
      </c>
      <c r="M22">
        <f t="shared" si="0"/>
        <v>3.4334730000011859E-2</v>
      </c>
    </row>
    <row r="23" spans="1:13" x14ac:dyDescent="0.2">
      <c r="A23" t="s">
        <v>30</v>
      </c>
      <c r="B23" t="s">
        <v>9</v>
      </c>
      <c r="C23">
        <v>3.9607000000000002E-3</v>
      </c>
      <c r="D23">
        <v>3.1805800000000002E-2</v>
      </c>
      <c r="E23">
        <v>3.57665E-2</v>
      </c>
      <c r="F23">
        <v>-1435.163575</v>
      </c>
      <c r="G23" s="1">
        <v>3.3000000000000002E-9</v>
      </c>
      <c r="H23">
        <v>22</v>
      </c>
      <c r="J23" s="3" t="s">
        <v>130</v>
      </c>
      <c r="M23">
        <f t="shared" si="0"/>
        <v>1.4425000000073851E-2</v>
      </c>
    </row>
    <row r="24" spans="1:13" x14ac:dyDescent="0.2">
      <c r="A24" t="s">
        <v>31</v>
      </c>
      <c r="B24" t="s">
        <v>9</v>
      </c>
      <c r="C24">
        <v>1.4727199999999999E-2</v>
      </c>
      <c r="D24">
        <v>0.3450743</v>
      </c>
      <c r="E24">
        <v>0.3598015</v>
      </c>
      <c r="F24">
        <v>-987.21739379999997</v>
      </c>
      <c r="G24" s="1">
        <v>7.9599999999999998E-8</v>
      </c>
      <c r="H24">
        <v>27</v>
      </c>
      <c r="J24" s="2" t="s">
        <v>131</v>
      </c>
      <c r="M24">
        <f t="shared" si="0"/>
        <v>7.6606200000014724E-2</v>
      </c>
    </row>
    <row r="25" spans="1:13" x14ac:dyDescent="0.2">
      <c r="A25" t="s">
        <v>32</v>
      </c>
      <c r="B25" t="s">
        <v>9</v>
      </c>
      <c r="C25">
        <v>8.6336899999999994E-2</v>
      </c>
      <c r="D25">
        <v>105.5254462</v>
      </c>
      <c r="E25">
        <v>105.6117831</v>
      </c>
      <c r="F25">
        <v>12324766.630000001</v>
      </c>
      <c r="G25" s="1">
        <v>6.4900000000000005E-8</v>
      </c>
      <c r="H25">
        <v>65</v>
      </c>
      <c r="J25" s="3" t="s">
        <v>132</v>
      </c>
      <c r="M25">
        <f t="shared" si="0"/>
        <v>1058366.6300000008</v>
      </c>
    </row>
    <row r="26" spans="1:13" x14ac:dyDescent="0.2">
      <c r="A26" t="s">
        <v>33</v>
      </c>
      <c r="B26" t="s">
        <v>9</v>
      </c>
      <c r="C26">
        <v>1.8550999999999999E-3</v>
      </c>
      <c r="D26">
        <v>1.6635799999999999E-2</v>
      </c>
      <c r="E26">
        <v>1.8490900000000001E-2</v>
      </c>
      <c r="F26">
        <v>-18.749238259999998</v>
      </c>
      <c r="G26" s="1">
        <v>1.46E-8</v>
      </c>
      <c r="H26">
        <v>26</v>
      </c>
      <c r="J26" s="2" t="s">
        <v>133</v>
      </c>
      <c r="M26">
        <f t="shared" si="0"/>
        <v>2.6908060000003786E-3</v>
      </c>
    </row>
    <row r="27" spans="1:13" x14ac:dyDescent="0.2">
      <c r="A27" t="s">
        <v>34</v>
      </c>
      <c r="B27" t="s">
        <v>9</v>
      </c>
      <c r="C27">
        <v>3.0496E-3</v>
      </c>
      <c r="D27">
        <v>5.1568299999999997E-2</v>
      </c>
      <c r="E27">
        <v>5.4617899999999997E-2</v>
      </c>
      <c r="F27">
        <v>-749.48287049999999</v>
      </c>
      <c r="G27" s="1">
        <v>5.4399999999999997E-8</v>
      </c>
      <c r="H27">
        <v>26</v>
      </c>
      <c r="J27" s="3" t="s">
        <v>134</v>
      </c>
      <c r="M27">
        <f t="shared" si="0"/>
        <v>6.2323472399999673</v>
      </c>
    </row>
    <row r="28" spans="1:13" x14ac:dyDescent="0.2">
      <c r="A28" t="s">
        <v>35</v>
      </c>
      <c r="B28" t="s">
        <v>9</v>
      </c>
      <c r="C28">
        <v>4.4437000000000001E-3</v>
      </c>
      <c r="D28">
        <v>9.7936800000000004E-2</v>
      </c>
      <c r="E28">
        <v>0.1023805</v>
      </c>
      <c r="F28">
        <v>555737.40399999998</v>
      </c>
      <c r="G28" s="1">
        <v>4.2799999999999999E-8</v>
      </c>
      <c r="H28">
        <v>45</v>
      </c>
      <c r="J28" s="2" t="s">
        <v>135</v>
      </c>
      <c r="M28">
        <f t="shared" si="0"/>
        <v>57.792350000003353</v>
      </c>
    </row>
    <row r="29" spans="1:13" x14ac:dyDescent="0.2">
      <c r="A29" t="s">
        <v>36</v>
      </c>
      <c r="B29" t="s">
        <v>9</v>
      </c>
      <c r="C29">
        <v>2.2171000000000001E-3</v>
      </c>
      <c r="D29">
        <v>3.67725E-2</v>
      </c>
      <c r="E29">
        <v>3.8989599999999999E-2</v>
      </c>
      <c r="F29">
        <v>172876.1686</v>
      </c>
      <c r="G29" s="1">
        <v>5.0799999999999998E-9</v>
      </c>
      <c r="H29">
        <v>41</v>
      </c>
      <c r="J29" s="3" t="s">
        <v>136</v>
      </c>
      <c r="M29">
        <f t="shared" si="0"/>
        <v>85.203130000008969</v>
      </c>
    </row>
    <row r="30" spans="1:13" x14ac:dyDescent="0.2">
      <c r="A30" t="s">
        <v>37</v>
      </c>
      <c r="B30" t="s">
        <v>9</v>
      </c>
      <c r="C30">
        <v>4.3045000000000002E-3</v>
      </c>
      <c r="D30">
        <v>5.52857E-2</v>
      </c>
      <c r="E30">
        <v>5.9590200000000003E-2</v>
      </c>
      <c r="F30">
        <v>-9146.3728360000005</v>
      </c>
      <c r="G30" s="1">
        <v>7.4000000000000001E-8</v>
      </c>
      <c r="H30">
        <v>33</v>
      </c>
      <c r="J30" s="2" t="s">
        <v>137</v>
      </c>
      <c r="M30">
        <f t="shared" si="0"/>
        <v>5.2563999997801147E-3</v>
      </c>
    </row>
    <row r="31" spans="1:13" x14ac:dyDescent="0.2">
      <c r="A31" t="s">
        <v>38</v>
      </c>
      <c r="B31" t="s">
        <v>9</v>
      </c>
      <c r="C31">
        <v>1.14536E-2</v>
      </c>
      <c r="D31">
        <v>3.5924499999999998E-2</v>
      </c>
      <c r="E31">
        <v>4.7378099999999999E-2</v>
      </c>
      <c r="F31">
        <v>9146.4626719999997</v>
      </c>
      <c r="G31" s="1">
        <v>4.4700000000000003E-8</v>
      </c>
      <c r="H31">
        <v>26</v>
      </c>
      <c r="J31" s="3" t="s">
        <v>138</v>
      </c>
      <c r="M31">
        <f t="shared" si="0"/>
        <v>8.4579599999415223E-2</v>
      </c>
    </row>
    <row r="32" spans="1:13" x14ac:dyDescent="0.2">
      <c r="A32" t="s">
        <v>39</v>
      </c>
      <c r="B32" t="s">
        <v>9</v>
      </c>
      <c r="C32">
        <v>6.5335400000000002E-2</v>
      </c>
      <c r="D32">
        <v>0.57498910000000003</v>
      </c>
      <c r="E32">
        <v>0.64032449999999996</v>
      </c>
      <c r="F32">
        <v>-68463.704559999998</v>
      </c>
      <c r="G32" s="1">
        <v>4.3999999999999997E-9</v>
      </c>
      <c r="H32">
        <v>41</v>
      </c>
      <c r="J32" s="2" t="s">
        <v>139</v>
      </c>
      <c r="M32">
        <f t="shared" si="0"/>
        <v>0.58873400000447873</v>
      </c>
    </row>
    <row r="33" spans="1:13" x14ac:dyDescent="0.2">
      <c r="A33" t="s">
        <v>40</v>
      </c>
      <c r="B33" t="s">
        <v>9</v>
      </c>
      <c r="C33">
        <v>0.1104554</v>
      </c>
      <c r="D33">
        <v>0.47969240000000002</v>
      </c>
      <c r="E33">
        <v>0.5901478</v>
      </c>
      <c r="F33">
        <v>68521.915059999999</v>
      </c>
      <c r="G33" s="1">
        <v>2.2600000000000001E-8</v>
      </c>
      <c r="H33">
        <v>45</v>
      </c>
      <c r="J33" s="3" t="s">
        <v>140</v>
      </c>
      <c r="M33">
        <f t="shared" si="0"/>
        <v>57.621828000003006</v>
      </c>
    </row>
    <row r="34" spans="1:13" x14ac:dyDescent="0.2">
      <c r="A34" t="s">
        <v>41</v>
      </c>
      <c r="B34" t="s">
        <v>9</v>
      </c>
      <c r="C34">
        <v>4.7917999999999997E-3</v>
      </c>
      <c r="D34">
        <v>2.6224399999999998E-2</v>
      </c>
      <c r="E34">
        <v>3.1016200000000001E-2</v>
      </c>
      <c r="F34">
        <v>-658.74888510000005</v>
      </c>
      <c r="G34" s="1">
        <v>3.2700000000000002E-8</v>
      </c>
      <c r="H34">
        <v>34</v>
      </c>
      <c r="J34" s="2" t="s">
        <v>141</v>
      </c>
      <c r="M34">
        <f t="shared" si="0"/>
        <v>5.4698544299999412</v>
      </c>
    </row>
    <row r="35" spans="1:13" x14ac:dyDescent="0.2">
      <c r="A35" t="s">
        <v>42</v>
      </c>
      <c r="B35" t="s">
        <v>9</v>
      </c>
      <c r="C35">
        <v>4.1761000000000003E-3</v>
      </c>
      <c r="D35">
        <v>6.3318600000000003E-2</v>
      </c>
      <c r="E35">
        <v>6.7494700000000005E-2</v>
      </c>
      <c r="F35">
        <v>-109578.4988</v>
      </c>
      <c r="G35" s="1">
        <v>5.0199999999999996E-9</v>
      </c>
      <c r="H35">
        <v>30</v>
      </c>
      <c r="J35" s="3" t="s">
        <v>142</v>
      </c>
      <c r="M35">
        <f t="shared" si="0"/>
        <v>7.8647599999967497</v>
      </c>
    </row>
    <row r="36" spans="1:13" x14ac:dyDescent="0.2">
      <c r="A36" t="s">
        <v>43</v>
      </c>
      <c r="B36" t="s">
        <v>9</v>
      </c>
      <c r="C36">
        <v>3.4291999999999999E-3</v>
      </c>
      <c r="D36">
        <v>2.9936399999999998E-2</v>
      </c>
      <c r="E36">
        <v>3.3365600000000002E-2</v>
      </c>
      <c r="F36">
        <v>6904832.3049999997</v>
      </c>
      <c r="G36" s="1">
        <v>4.6999999999999997E-8</v>
      </c>
      <c r="H36">
        <v>35</v>
      </c>
      <c r="J36" s="2" t="s">
        <v>143</v>
      </c>
      <c r="M36">
        <f t="shared" si="0"/>
        <v>2596.3054999997839</v>
      </c>
    </row>
    <row r="37" spans="1:13" x14ac:dyDescent="0.2">
      <c r="A37" t="s">
        <v>44</v>
      </c>
      <c r="B37" t="s">
        <v>9</v>
      </c>
      <c r="C37">
        <v>3.4371400000000003E-2</v>
      </c>
      <c r="D37">
        <v>1.1633500000000001</v>
      </c>
      <c r="E37">
        <v>1.1977214</v>
      </c>
      <c r="F37">
        <v>-72461194.319999993</v>
      </c>
      <c r="G37" s="1">
        <v>7.0500000000000003E-8</v>
      </c>
      <c r="H37">
        <v>52</v>
      </c>
      <c r="J37" s="3" t="s">
        <v>144</v>
      </c>
      <c r="M37">
        <f t="shared" si="0"/>
        <v>1211.5880000144243</v>
      </c>
    </row>
    <row r="38" spans="1:13" x14ac:dyDescent="0.2">
      <c r="A38" t="s">
        <v>45</v>
      </c>
      <c r="B38" t="s">
        <v>9</v>
      </c>
      <c r="C38">
        <v>3.0714600000000002E-2</v>
      </c>
      <c r="D38">
        <v>1.2098202</v>
      </c>
      <c r="E38">
        <v>1.2405348</v>
      </c>
      <c r="F38">
        <v>-4301086.8449999997</v>
      </c>
      <c r="G38" s="1">
        <v>8.4899999999999999E-8</v>
      </c>
      <c r="H38">
        <v>53</v>
      </c>
      <c r="J38" s="2" t="s">
        <v>145</v>
      </c>
      <c r="M38">
        <f t="shared" si="0"/>
        <v>1060.7615000000224</v>
      </c>
    </row>
    <row r="39" spans="1:13" x14ac:dyDescent="0.2">
      <c r="A39" t="s">
        <v>46</v>
      </c>
      <c r="B39" t="s">
        <v>47</v>
      </c>
      <c r="C39">
        <v>2.1849E-3</v>
      </c>
      <c r="D39">
        <v>0.31382850000000001</v>
      </c>
      <c r="E39">
        <v>0.3160134</v>
      </c>
      <c r="F39">
        <v>-28262719.739999998</v>
      </c>
      <c r="G39" s="1">
        <v>6.6E+19</v>
      </c>
      <c r="H39">
        <v>200</v>
      </c>
      <c r="J39" s="3" t="s">
        <v>146</v>
      </c>
      <c r="M39">
        <f t="shared" si="0"/>
        <v>78608221.550000012</v>
      </c>
    </row>
    <row r="40" spans="1:13" x14ac:dyDescent="0.2">
      <c r="A40" t="s">
        <v>48</v>
      </c>
      <c r="B40" t="s">
        <v>47</v>
      </c>
      <c r="C40">
        <v>4.5485999999999999E-3</v>
      </c>
      <c r="D40">
        <v>0.57127989999999995</v>
      </c>
      <c r="E40">
        <v>0.57582849999999997</v>
      </c>
      <c r="F40">
        <v>-284133171.19999999</v>
      </c>
      <c r="G40" s="1">
        <v>1.56E+21</v>
      </c>
      <c r="H40">
        <v>200</v>
      </c>
      <c r="J40" s="2" t="s">
        <v>147</v>
      </c>
      <c r="M40">
        <f t="shared" si="0"/>
        <v>-123298834.72</v>
      </c>
    </row>
    <row r="41" spans="1:13" x14ac:dyDescent="0.2">
      <c r="A41" t="s">
        <v>49</v>
      </c>
      <c r="B41" t="s">
        <v>47</v>
      </c>
      <c r="C41">
        <v>1.2287000000000001E-3</v>
      </c>
      <c r="D41">
        <v>0.19687470000000001</v>
      </c>
      <c r="E41">
        <v>0.19810340000000001</v>
      </c>
      <c r="F41">
        <v>-122345523.3</v>
      </c>
      <c r="G41" s="1">
        <v>1.2E+19</v>
      </c>
      <c r="H41">
        <v>200</v>
      </c>
      <c r="J41" s="3" t="s">
        <v>148</v>
      </c>
      <c r="M41">
        <f t="shared" si="0"/>
        <v>-74557711.484999999</v>
      </c>
    </row>
    <row r="42" spans="1:13" x14ac:dyDescent="0.2">
      <c r="A42" t="s">
        <v>50</v>
      </c>
      <c r="B42" t="s">
        <v>9</v>
      </c>
      <c r="C42">
        <v>1.6907000000000001E-3</v>
      </c>
      <c r="D42">
        <v>1.8100000000000002E-2</v>
      </c>
      <c r="E42">
        <v>1.9790700000000001E-2</v>
      </c>
      <c r="F42">
        <v>-894924.72459999996</v>
      </c>
      <c r="G42" s="1">
        <v>1.8600000000000001E-8</v>
      </c>
      <c r="H42">
        <v>36</v>
      </c>
      <c r="J42" s="2" t="s">
        <v>149</v>
      </c>
      <c r="M42">
        <f t="shared" si="0"/>
        <v>1720.0972600000678</v>
      </c>
    </row>
    <row r="43" spans="1:13" x14ac:dyDescent="0.2">
      <c r="A43" t="s">
        <v>51</v>
      </c>
      <c r="B43" t="s">
        <v>9</v>
      </c>
      <c r="C43">
        <v>2.0880000000000001E-4</v>
      </c>
      <c r="D43">
        <v>4.7124999999999997E-3</v>
      </c>
      <c r="E43">
        <v>4.9213E-3</v>
      </c>
      <c r="F43">
        <v>-1749.9000739999999</v>
      </c>
      <c r="G43" s="1">
        <v>1.27E-9</v>
      </c>
      <c r="H43">
        <v>47</v>
      </c>
      <c r="J43" s="3" t="s">
        <v>150</v>
      </c>
      <c r="M43">
        <f t="shared" si="0"/>
        <v>5.5900000006658956E-5</v>
      </c>
    </row>
    <row r="44" spans="1:13" x14ac:dyDescent="0.2">
      <c r="A44" t="s">
        <v>52</v>
      </c>
      <c r="B44" t="s">
        <v>9</v>
      </c>
      <c r="C44">
        <v>1.2114999999999999E-3</v>
      </c>
      <c r="D44">
        <v>7.4403000000000004E-3</v>
      </c>
      <c r="E44">
        <v>8.6517999999999994E-3</v>
      </c>
      <c r="F44">
        <v>-25.254700450000001</v>
      </c>
      <c r="G44" s="1">
        <v>2.3000000000000001E-8</v>
      </c>
      <c r="H44">
        <v>23</v>
      </c>
      <c r="J44" s="2" t="s">
        <v>151</v>
      </c>
      <c r="M44">
        <f t="shared" si="0"/>
        <v>1.0005611999996944E-2</v>
      </c>
    </row>
    <row r="45" spans="1:13" x14ac:dyDescent="0.2">
      <c r="A45" t="s">
        <v>53</v>
      </c>
      <c r="B45" t="s">
        <v>9</v>
      </c>
      <c r="C45">
        <v>6.8885999999999999E-3</v>
      </c>
      <c r="D45">
        <v>0.21731819999999999</v>
      </c>
      <c r="E45">
        <v>0.22420680000000001</v>
      </c>
      <c r="F45">
        <v>-58049.546589999998</v>
      </c>
      <c r="G45" s="1">
        <v>1.8699999999999999E-8</v>
      </c>
      <c r="H45">
        <v>40</v>
      </c>
      <c r="J45" s="3" t="s">
        <v>152</v>
      </c>
      <c r="M45">
        <f t="shared" si="0"/>
        <v>14.197111000001314</v>
      </c>
    </row>
    <row r="46" spans="1:13" x14ac:dyDescent="0.2">
      <c r="A46" t="s">
        <v>54</v>
      </c>
      <c r="B46" t="s">
        <v>9</v>
      </c>
      <c r="C46">
        <v>0.19477800000000001</v>
      </c>
      <c r="D46">
        <v>19.717365399999998</v>
      </c>
      <c r="E46">
        <v>19.912143400000001</v>
      </c>
      <c r="F46">
        <v>1497512.906</v>
      </c>
      <c r="G46" s="1">
        <v>1.18E-8</v>
      </c>
      <c r="H46">
        <v>47</v>
      </c>
      <c r="J46" s="2" t="s">
        <v>153</v>
      </c>
      <c r="M46">
        <f t="shared" si="0"/>
        <v>327.73949999990873</v>
      </c>
    </row>
    <row r="47" spans="1:13" x14ac:dyDescent="0.2">
      <c r="A47" t="s">
        <v>55</v>
      </c>
      <c r="B47" t="s">
        <v>9</v>
      </c>
      <c r="C47">
        <v>3.6893999999999998E-3</v>
      </c>
      <c r="D47">
        <v>2.8257999999999998E-2</v>
      </c>
      <c r="E47">
        <v>3.1947400000000001E-2</v>
      </c>
      <c r="F47">
        <v>1402.3955020000001</v>
      </c>
      <c r="G47" s="1">
        <v>7.6899999999999994E-8</v>
      </c>
      <c r="H47">
        <v>28</v>
      </c>
      <c r="J47" s="3" t="s">
        <v>154</v>
      </c>
      <c r="M47">
        <f t="shared" si="0"/>
        <v>1081.77577294</v>
      </c>
    </row>
    <row r="48" spans="1:13" x14ac:dyDescent="0.2">
      <c r="A48" t="s">
        <v>56</v>
      </c>
      <c r="B48" t="s">
        <v>9</v>
      </c>
      <c r="C48">
        <v>1.1354299999999999E-2</v>
      </c>
      <c r="D48">
        <v>0.1410305</v>
      </c>
      <c r="E48">
        <v>0.15238479999999999</v>
      </c>
      <c r="F48">
        <v>14077503.300000001</v>
      </c>
      <c r="G48" s="1">
        <v>8.7299999999999994E-8</v>
      </c>
      <c r="H48">
        <v>34</v>
      </c>
      <c r="J48" s="2" t="s">
        <v>155</v>
      </c>
      <c r="M48">
        <f t="shared" si="0"/>
        <v>1430.265000000596</v>
      </c>
    </row>
    <row r="49" spans="1:13" x14ac:dyDescent="0.2">
      <c r="A49" t="s">
        <v>57</v>
      </c>
      <c r="B49" t="s">
        <v>9</v>
      </c>
      <c r="C49">
        <v>5.5605999999999997E-3</v>
      </c>
      <c r="D49">
        <v>0.25841910000000001</v>
      </c>
      <c r="E49">
        <v>0.26397969999999998</v>
      </c>
      <c r="F49">
        <v>-9380.2597310000001</v>
      </c>
      <c r="G49" s="1">
        <v>9.2000000000000003E-8</v>
      </c>
      <c r="H49">
        <v>63</v>
      </c>
      <c r="J49" s="3" t="s">
        <v>156</v>
      </c>
      <c r="M49">
        <f t="shared" si="0"/>
        <v>0.49834630000077595</v>
      </c>
    </row>
    <row r="50" spans="1:13" x14ac:dyDescent="0.2">
      <c r="A50" t="s">
        <v>58</v>
      </c>
      <c r="B50" t="s">
        <v>9</v>
      </c>
      <c r="C50">
        <v>3.5456300000000003E-2</v>
      </c>
      <c r="D50">
        <v>2.7217202999999999</v>
      </c>
      <c r="E50">
        <v>2.7571766000000002</v>
      </c>
      <c r="F50">
        <v>-554.68858360000002</v>
      </c>
      <c r="G50" s="1">
        <v>8.0599999999999994E-8</v>
      </c>
      <c r="H50">
        <v>67</v>
      </c>
      <c r="J50" s="2" t="s">
        <v>157</v>
      </c>
      <c r="M50">
        <f t="shared" si="0"/>
        <v>2.7157164699999612</v>
      </c>
    </row>
    <row r="51" spans="1:13" x14ac:dyDescent="0.2">
      <c r="A51" t="s">
        <v>59</v>
      </c>
      <c r="B51" t="s">
        <v>9</v>
      </c>
      <c r="C51">
        <v>3.9328000000000002E-3</v>
      </c>
      <c r="D51">
        <v>6.7034800000000005E-2</v>
      </c>
      <c r="E51">
        <v>7.0967600000000006E-2</v>
      </c>
      <c r="F51">
        <v>-2581.07537</v>
      </c>
      <c r="G51" s="1">
        <v>2.3000000000000001E-8</v>
      </c>
      <c r="H51">
        <v>42</v>
      </c>
      <c r="J51" s="3" t="s">
        <v>158</v>
      </c>
      <c r="M51">
        <f t="shared" si="0"/>
        <v>3532.0590410999998</v>
      </c>
    </row>
    <row r="52" spans="1:13" x14ac:dyDescent="0.2">
      <c r="A52" t="s">
        <v>60</v>
      </c>
      <c r="B52" t="s">
        <v>9</v>
      </c>
      <c r="C52">
        <v>5.2004799999999997E-2</v>
      </c>
      <c r="D52">
        <v>12.2851287</v>
      </c>
      <c r="E52">
        <v>12.3371335</v>
      </c>
      <c r="F52">
        <v>318.4721093</v>
      </c>
      <c r="G52" s="1">
        <v>9.2599999999999995E-8</v>
      </c>
      <c r="H52">
        <v>65</v>
      </c>
      <c r="J52" s="2" t="s">
        <v>159</v>
      </c>
      <c r="M52">
        <f t="shared" si="0"/>
        <v>2720421.2160093002</v>
      </c>
    </row>
    <row r="53" spans="1:13" x14ac:dyDescent="0.2">
      <c r="A53" t="s">
        <v>61</v>
      </c>
      <c r="B53" t="s">
        <v>9</v>
      </c>
      <c r="C53">
        <v>8.6323000000000007E-3</v>
      </c>
      <c r="D53">
        <v>0.42435889999999998</v>
      </c>
      <c r="E53">
        <v>0.43299120000000002</v>
      </c>
      <c r="F53">
        <v>-6112.9132739999995</v>
      </c>
      <c r="G53" s="1">
        <v>2.7899999999999998E-8</v>
      </c>
      <c r="H53">
        <v>51</v>
      </c>
      <c r="J53" s="3" t="s">
        <v>160</v>
      </c>
      <c r="M53">
        <f t="shared" si="0"/>
        <v>-3531.7740098999993</v>
      </c>
    </row>
    <row r="54" spans="1:13" x14ac:dyDescent="0.2">
      <c r="A54" t="s">
        <v>62</v>
      </c>
      <c r="B54" t="s">
        <v>9</v>
      </c>
      <c r="C54">
        <v>8.0035000000000002E-3</v>
      </c>
      <c r="D54">
        <v>0.16617199999999999</v>
      </c>
      <c r="E54">
        <v>0.17417550000000001</v>
      </c>
      <c r="F54">
        <v>-2717516.4720000001</v>
      </c>
      <c r="G54" s="1">
        <v>5.6799999999999999E-8</v>
      </c>
      <c r="H54">
        <v>53</v>
      </c>
      <c r="J54" s="2" t="s">
        <v>161</v>
      </c>
      <c r="M54">
        <f t="shared" si="0"/>
        <v>-2717818.1827282701</v>
      </c>
    </row>
    <row r="55" spans="1:13" x14ac:dyDescent="0.2">
      <c r="A55" t="s">
        <v>63</v>
      </c>
      <c r="B55" t="s">
        <v>9</v>
      </c>
      <c r="C55">
        <v>1.16726E-2</v>
      </c>
      <c r="D55">
        <v>0.33596589999999998</v>
      </c>
      <c r="E55">
        <v>0.34763850000000002</v>
      </c>
      <c r="F55">
        <v>-4497.0851970000003</v>
      </c>
      <c r="G55" s="1">
        <v>5.7999999999999998E-9</v>
      </c>
      <c r="H55">
        <v>39</v>
      </c>
      <c r="J55" s="3" t="s">
        <v>162</v>
      </c>
      <c r="M55">
        <f t="shared" si="0"/>
        <v>0.19099120000009862</v>
      </c>
    </row>
    <row r="56" spans="1:13" x14ac:dyDescent="0.2">
      <c r="A56" t="s">
        <v>64</v>
      </c>
      <c r="B56" t="s">
        <v>9</v>
      </c>
      <c r="C56">
        <v>7.3322700000000005E-2</v>
      </c>
      <c r="D56">
        <v>91.539782000000002</v>
      </c>
      <c r="E56">
        <v>91.613104699999994</v>
      </c>
      <c r="F56">
        <v>522.94374449999998</v>
      </c>
      <c r="G56" s="1">
        <v>8.3200000000000004E-8</v>
      </c>
      <c r="H56">
        <v>49</v>
      </c>
      <c r="J56" s="2" t="s">
        <v>163</v>
      </c>
      <c r="M56">
        <f t="shared" si="0"/>
        <v>319.44374449999998</v>
      </c>
    </row>
    <row r="57" spans="1:13" x14ac:dyDescent="0.2">
      <c r="A57" t="s">
        <v>65</v>
      </c>
      <c r="B57" t="s">
        <v>9</v>
      </c>
      <c r="C57">
        <v>0.24886720000000001</v>
      </c>
      <c r="D57">
        <v>2111.6954860000001</v>
      </c>
      <c r="E57">
        <v>2111.9443529999999</v>
      </c>
      <c r="F57">
        <v>1041.104235</v>
      </c>
      <c r="G57" s="1">
        <v>9.1300000000000004E-8</v>
      </c>
      <c r="H57">
        <v>97</v>
      </c>
      <c r="J57" s="3" t="s">
        <v>164</v>
      </c>
      <c r="M57">
        <f t="shared" si="0"/>
        <v>518.20988444</v>
      </c>
    </row>
    <row r="58" spans="1:13" x14ac:dyDescent="0.2">
      <c r="A58" t="s">
        <v>66</v>
      </c>
      <c r="B58" t="s">
        <v>9</v>
      </c>
      <c r="C58">
        <v>6.9950000000000003E-3</v>
      </c>
      <c r="D58">
        <v>1.1731935</v>
      </c>
      <c r="E58">
        <v>1.1801885000000001</v>
      </c>
      <c r="F58">
        <v>203.501476</v>
      </c>
      <c r="G58" s="1">
        <v>2.3499999999999999E-9</v>
      </c>
      <c r="H58">
        <v>25</v>
      </c>
      <c r="J58" s="2" t="s">
        <v>165</v>
      </c>
      <c r="M58">
        <f t="shared" si="0"/>
        <v>-837.4925649999999</v>
      </c>
    </row>
    <row r="59" spans="1:13" x14ac:dyDescent="0.2">
      <c r="A59" t="s">
        <v>67</v>
      </c>
      <c r="B59" t="s">
        <v>9</v>
      </c>
      <c r="C59">
        <v>6.5439999999999997E-4</v>
      </c>
      <c r="D59">
        <v>4.9449999999999997E-3</v>
      </c>
      <c r="E59">
        <v>5.5994E-3</v>
      </c>
      <c r="F59">
        <v>-266.61596470000001</v>
      </c>
      <c r="G59" s="1">
        <v>5.7699999999999998E-11</v>
      </c>
      <c r="H59">
        <v>19</v>
      </c>
      <c r="J59" s="3" t="s">
        <v>166</v>
      </c>
      <c r="M59">
        <f t="shared" si="0"/>
        <v>3.529999997908817E-5</v>
      </c>
    </row>
    <row r="60" spans="1:13" x14ac:dyDescent="0.2">
      <c r="A60" t="s">
        <v>68</v>
      </c>
      <c r="B60" t="s">
        <v>9</v>
      </c>
      <c r="C60">
        <v>5.6709999999999996E-4</v>
      </c>
      <c r="D60">
        <v>3.0691999999999998E-3</v>
      </c>
      <c r="E60">
        <v>3.6362999999999999E-3</v>
      </c>
      <c r="F60">
        <v>-52.201859630000001</v>
      </c>
      <c r="G60" s="1">
        <v>7.7400000000000002E-9</v>
      </c>
      <c r="H60">
        <v>15</v>
      </c>
      <c r="J60" s="2" t="s">
        <v>167</v>
      </c>
      <c r="M60">
        <f t="shared" si="0"/>
        <v>2.0158199999542603E-4</v>
      </c>
    </row>
    <row r="61" spans="1:13" x14ac:dyDescent="0.2">
      <c r="A61" t="s">
        <v>69</v>
      </c>
      <c r="B61" t="s">
        <v>9</v>
      </c>
      <c r="C61">
        <v>8.6350000000000001E-4</v>
      </c>
      <c r="D61">
        <v>8.8310000000000003E-3</v>
      </c>
      <c r="E61">
        <v>9.6945E-3</v>
      </c>
      <c r="F61">
        <v>-52.201111099999999</v>
      </c>
      <c r="G61" s="1">
        <v>1.59E-8</v>
      </c>
      <c r="H61">
        <v>23</v>
      </c>
      <c r="J61" s="3" t="s">
        <v>167</v>
      </c>
      <c r="M61">
        <f t="shared" si="0"/>
        <v>9.5011199999817109E-4</v>
      </c>
    </row>
    <row r="62" spans="1:13" x14ac:dyDescent="0.2">
      <c r="A62" t="s">
        <v>70</v>
      </c>
      <c r="B62" t="s">
        <v>9</v>
      </c>
      <c r="C62">
        <v>2.5819999999999999E-4</v>
      </c>
      <c r="D62">
        <v>1.5843999999999999E-3</v>
      </c>
      <c r="E62">
        <v>1.8426E-3</v>
      </c>
      <c r="F62">
        <v>-64.573914689999995</v>
      </c>
      <c r="G62" s="1">
        <v>5.5299999999999997E-9</v>
      </c>
      <c r="H62">
        <v>13</v>
      </c>
      <c r="J62" s="2" t="s">
        <v>168</v>
      </c>
      <c r="M62">
        <f t="shared" si="0"/>
        <v>1.1623689999993303E-3</v>
      </c>
    </row>
    <row r="63" spans="1:13" x14ac:dyDescent="0.2">
      <c r="A63" t="s">
        <v>71</v>
      </c>
      <c r="B63" t="s">
        <v>9</v>
      </c>
      <c r="C63">
        <v>2.153E-4</v>
      </c>
      <c r="D63">
        <v>1.3472E-3</v>
      </c>
      <c r="E63">
        <v>1.5625000000000001E-3</v>
      </c>
      <c r="F63">
        <v>-69.999958449999994</v>
      </c>
      <c r="G63" s="1">
        <v>4.1000000000000002E-14</v>
      </c>
      <c r="H63">
        <v>12</v>
      </c>
      <c r="J63" s="3" t="s">
        <v>169</v>
      </c>
      <c r="M63">
        <f t="shared" si="0"/>
        <v>4.1550000005941001E-5</v>
      </c>
    </row>
    <row r="64" spans="1:13" x14ac:dyDescent="0.2">
      <c r="A64" t="s">
        <v>72</v>
      </c>
      <c r="B64" t="s">
        <v>9</v>
      </c>
      <c r="C64">
        <v>1.3939E-3</v>
      </c>
      <c r="D64">
        <v>1.2108600000000001E-2</v>
      </c>
      <c r="E64">
        <v>1.3502500000000001E-2</v>
      </c>
      <c r="F64">
        <v>-14753382.25</v>
      </c>
      <c r="G64" s="1">
        <v>7.8800000000000001E-9</v>
      </c>
      <c r="H64">
        <v>31</v>
      </c>
      <c r="J64" s="2" t="s">
        <v>170</v>
      </c>
      <c r="M64">
        <f t="shared" si="0"/>
        <v>50.811000000685453</v>
      </c>
    </row>
    <row r="65" spans="1:13" x14ac:dyDescent="0.2">
      <c r="A65" t="s">
        <v>73</v>
      </c>
      <c r="B65" t="s">
        <v>9</v>
      </c>
      <c r="C65">
        <v>5.4770000000000003E-4</v>
      </c>
      <c r="D65">
        <v>4.5535000000000003E-3</v>
      </c>
      <c r="E65">
        <v>5.1012000000000002E-3</v>
      </c>
      <c r="F65">
        <v>-2331378.5060000001</v>
      </c>
      <c r="G65" s="1">
        <v>8.91E-9</v>
      </c>
      <c r="H65">
        <v>24</v>
      </c>
      <c r="J65" s="3" t="s">
        <v>171</v>
      </c>
      <c r="M65">
        <f t="shared" si="0"/>
        <v>10.748800000175834</v>
      </c>
    </row>
    <row r="66" spans="1:13" x14ac:dyDescent="0.2">
      <c r="A66" t="s">
        <v>74</v>
      </c>
      <c r="B66" t="s">
        <v>9</v>
      </c>
      <c r="C66">
        <v>1.8973E-3</v>
      </c>
      <c r="D66">
        <v>2.7807700000000001E-2</v>
      </c>
      <c r="E66">
        <v>2.9704999999999999E-2</v>
      </c>
      <c r="F66">
        <v>18417.55544</v>
      </c>
      <c r="G66" s="1">
        <v>6.7500000000000001E-9</v>
      </c>
      <c r="H66">
        <v>34</v>
      </c>
      <c r="J66" s="2" t="s">
        <v>172</v>
      </c>
      <c r="M66">
        <f t="shared" si="0"/>
        <v>0.79641199999969103</v>
      </c>
    </row>
    <row r="67" spans="1:13" x14ac:dyDescent="0.2">
      <c r="A67" t="s">
        <v>75</v>
      </c>
      <c r="B67" t="s">
        <v>9</v>
      </c>
      <c r="C67">
        <v>4.0273000000000002E-3</v>
      </c>
      <c r="D67">
        <v>5.9481300000000001E-2</v>
      </c>
      <c r="E67">
        <v>6.3508599999999998E-2</v>
      </c>
      <c r="F67">
        <v>36664.776140000002</v>
      </c>
      <c r="G67" s="1">
        <v>3.5000000000000002E-8</v>
      </c>
      <c r="H67">
        <v>42</v>
      </c>
      <c r="J67" s="3" t="s">
        <v>173</v>
      </c>
      <c r="M67">
        <f t="shared" ref="M67:M99" si="1">F67-J67</f>
        <v>4.5145750000010594</v>
      </c>
    </row>
    <row r="68" spans="1:13" x14ac:dyDescent="0.2">
      <c r="A68" t="s">
        <v>76</v>
      </c>
      <c r="B68" t="s">
        <v>9</v>
      </c>
      <c r="C68">
        <v>4.2316000000000003E-3</v>
      </c>
      <c r="D68">
        <v>0.1027124</v>
      </c>
      <c r="E68">
        <v>0.106944</v>
      </c>
      <c r="F68">
        <v>54906.4398</v>
      </c>
      <c r="G68" s="1">
        <v>3.4100000000000001E-8</v>
      </c>
      <c r="H68">
        <v>42</v>
      </c>
      <c r="J68" s="2" t="s">
        <v>174</v>
      </c>
      <c r="M68">
        <f t="shared" si="1"/>
        <v>5.1852500000022701</v>
      </c>
    </row>
    <row r="69" spans="1:13" x14ac:dyDescent="0.2">
      <c r="A69" t="s">
        <v>77</v>
      </c>
      <c r="B69" t="s">
        <v>9</v>
      </c>
      <c r="C69">
        <v>1.5202E-3</v>
      </c>
      <c r="D69">
        <v>7.4913000000000002E-3</v>
      </c>
      <c r="E69">
        <v>9.0115000000000004E-3</v>
      </c>
      <c r="F69">
        <v>1878.1259460000001</v>
      </c>
      <c r="G69" s="1">
        <v>1.0999999999999999E-9</v>
      </c>
      <c r="H69">
        <v>23</v>
      </c>
      <c r="J69" s="3" t="s">
        <v>175</v>
      </c>
      <c r="M69">
        <f t="shared" si="1"/>
        <v>1.1233000000174798E-3</v>
      </c>
    </row>
    <row r="70" spans="1:13" x14ac:dyDescent="0.2">
      <c r="A70" t="s">
        <v>78</v>
      </c>
      <c r="B70" t="s">
        <v>9</v>
      </c>
      <c r="C70">
        <v>4.2192999999999996E-3</v>
      </c>
      <c r="D70">
        <v>4.0686899999999998E-2</v>
      </c>
      <c r="E70">
        <v>4.49062E-2</v>
      </c>
      <c r="F70">
        <v>905.01541110000005</v>
      </c>
      <c r="G70" s="1">
        <v>2.22E-8</v>
      </c>
      <c r="H70">
        <v>44</v>
      </c>
      <c r="J70" s="2" t="s">
        <v>176</v>
      </c>
      <c r="M70">
        <f t="shared" si="1"/>
        <v>0.71542491000002428</v>
      </c>
    </row>
    <row r="71" spans="1:13" x14ac:dyDescent="0.2">
      <c r="A71" t="s">
        <v>79</v>
      </c>
      <c r="B71" t="s">
        <v>9</v>
      </c>
      <c r="C71">
        <v>2.0644000000000001E-3</v>
      </c>
      <c r="D71">
        <v>1.1873099999999999E-2</v>
      </c>
      <c r="E71">
        <v>1.39375E-2</v>
      </c>
      <c r="F71">
        <v>8.6666999110000003</v>
      </c>
      <c r="G71" s="1">
        <v>5.2999999999999996E-12</v>
      </c>
      <c r="H71">
        <v>19</v>
      </c>
      <c r="J71" s="3" t="s">
        <v>177</v>
      </c>
      <c r="M71">
        <f t="shared" si="1"/>
        <v>3.3236700000216501E-5</v>
      </c>
    </row>
    <row r="72" spans="1:13" x14ac:dyDescent="0.2">
      <c r="A72" t="s">
        <v>80</v>
      </c>
      <c r="B72" t="s">
        <v>9</v>
      </c>
      <c r="C72">
        <v>2.9101999999999999E-3</v>
      </c>
      <c r="D72">
        <v>1.9546999999999998E-2</v>
      </c>
      <c r="E72">
        <v>2.24572E-2</v>
      </c>
      <c r="F72">
        <v>50.500202369999997</v>
      </c>
      <c r="G72" s="1">
        <v>1.77E-8</v>
      </c>
      <c r="H72">
        <v>22</v>
      </c>
      <c r="J72" s="2" t="s">
        <v>178</v>
      </c>
      <c r="M72">
        <f t="shared" si="1"/>
        <v>2.0229199999732828E-4</v>
      </c>
    </row>
    <row r="73" spans="1:13" x14ac:dyDescent="0.2">
      <c r="A73" t="s">
        <v>81</v>
      </c>
      <c r="B73" t="s">
        <v>9</v>
      </c>
      <c r="C73">
        <v>6.4707000000000002E-3</v>
      </c>
      <c r="D73">
        <v>2.7857900000000001E-2</v>
      </c>
      <c r="E73">
        <v>3.4328600000000001E-2</v>
      </c>
      <c r="F73">
        <v>905.02079349999997</v>
      </c>
      <c r="G73" s="1">
        <v>6.7799999999999998E-8</v>
      </c>
      <c r="H73">
        <v>18</v>
      </c>
      <c r="J73" s="3" t="s">
        <v>179</v>
      </c>
      <c r="M73">
        <f t="shared" si="1"/>
        <v>2.0793570000023465E-2</v>
      </c>
    </row>
    <row r="74" spans="1:13" x14ac:dyDescent="0.2">
      <c r="A74" t="s">
        <v>82</v>
      </c>
      <c r="B74" t="s">
        <v>9</v>
      </c>
      <c r="C74">
        <v>1.9605999999999998E-3</v>
      </c>
      <c r="D74">
        <v>1.9158499999999998E-2</v>
      </c>
      <c r="E74">
        <v>2.1119099999999998E-2</v>
      </c>
      <c r="F74">
        <v>1412.250978</v>
      </c>
      <c r="G74" s="1">
        <v>9.0199999999999999E-12</v>
      </c>
      <c r="H74">
        <v>32</v>
      </c>
      <c r="J74" s="2" t="s">
        <v>180</v>
      </c>
      <c r="M74">
        <f t="shared" si="1"/>
        <v>9.780000000318978E-4</v>
      </c>
    </row>
    <row r="75" spans="1:13" x14ac:dyDescent="0.2">
      <c r="A75" t="s">
        <v>83</v>
      </c>
      <c r="B75" t="s">
        <v>9</v>
      </c>
      <c r="C75">
        <v>7.7654000000000004E-3</v>
      </c>
      <c r="D75">
        <v>7.2140099999999999E-2</v>
      </c>
      <c r="E75">
        <v>7.9905500000000004E-2</v>
      </c>
      <c r="F75">
        <v>1724.8097990000001</v>
      </c>
      <c r="G75" s="1">
        <v>4.1200000000000002E-10</v>
      </c>
      <c r="H75">
        <v>31</v>
      </c>
      <c r="J75" s="3" t="s">
        <v>181</v>
      </c>
      <c r="M75">
        <f t="shared" si="1"/>
        <v>2.6561000001947832E-3</v>
      </c>
    </row>
    <row r="76" spans="1:13" x14ac:dyDescent="0.2">
      <c r="A76" t="s">
        <v>84</v>
      </c>
      <c r="B76" t="s">
        <v>9</v>
      </c>
      <c r="C76">
        <v>1.1512700000000001E-2</v>
      </c>
      <c r="D76">
        <v>6.5903600000000007E-2</v>
      </c>
      <c r="E76">
        <v>7.7416299999999993E-2</v>
      </c>
      <c r="F76">
        <v>1424.029757</v>
      </c>
      <c r="G76" s="1">
        <v>4.5699999999999999E-8</v>
      </c>
      <c r="H76">
        <v>23</v>
      </c>
      <c r="J76" s="2" t="s">
        <v>182</v>
      </c>
      <c r="M76">
        <f t="shared" si="1"/>
        <v>2.9757000000017797E-2</v>
      </c>
    </row>
    <row r="77" spans="1:13" x14ac:dyDescent="0.2">
      <c r="A77" t="s">
        <v>85</v>
      </c>
      <c r="B77" t="s">
        <v>9</v>
      </c>
      <c r="C77">
        <v>6.0076000000000001E-3</v>
      </c>
      <c r="D77">
        <v>2.5144900000000001E-2</v>
      </c>
      <c r="E77">
        <v>3.11525E-2</v>
      </c>
      <c r="F77">
        <v>15711.745290000001</v>
      </c>
      <c r="G77" s="1">
        <v>2.2200000000000002E-9</v>
      </c>
      <c r="H77">
        <v>29</v>
      </c>
      <c r="J77" s="3" t="s">
        <v>183</v>
      </c>
      <c r="M77">
        <f t="shared" si="1"/>
        <v>0.1452900000003865</v>
      </c>
    </row>
    <row r="78" spans="1:13" x14ac:dyDescent="0.2">
      <c r="A78" t="s">
        <v>86</v>
      </c>
      <c r="B78" t="s">
        <v>9</v>
      </c>
      <c r="C78">
        <v>9.0549999999999995E-4</v>
      </c>
      <c r="D78">
        <v>1.22159E-2</v>
      </c>
      <c r="E78">
        <v>1.31214E-2</v>
      </c>
      <c r="F78">
        <v>-76587.857269999993</v>
      </c>
      <c r="G78" s="1">
        <v>2.1200000000000001E-8</v>
      </c>
      <c r="H78">
        <v>37</v>
      </c>
      <c r="J78" s="2" t="s">
        <v>184</v>
      </c>
      <c r="M78">
        <f t="shared" si="1"/>
        <v>1.4613090000057127</v>
      </c>
    </row>
    <row r="79" spans="1:13" x14ac:dyDescent="0.2">
      <c r="A79" t="s">
        <v>87</v>
      </c>
      <c r="B79" t="s">
        <v>9</v>
      </c>
      <c r="C79">
        <v>4.2569999999999999E-4</v>
      </c>
      <c r="D79">
        <v>2.6687999999999998E-3</v>
      </c>
      <c r="E79">
        <v>3.0945E-3</v>
      </c>
      <c r="F79">
        <v>-415.73214510000003</v>
      </c>
      <c r="G79" s="1">
        <v>3.2299999999999998E-9</v>
      </c>
      <c r="H79">
        <v>19</v>
      </c>
      <c r="J79" s="3" t="s">
        <v>185</v>
      </c>
      <c r="M79">
        <f t="shared" si="1"/>
        <v>9.5639999983632151E-5</v>
      </c>
    </row>
    <row r="80" spans="1:13" x14ac:dyDescent="0.2">
      <c r="A80" t="s">
        <v>88</v>
      </c>
      <c r="B80" t="s">
        <v>9</v>
      </c>
      <c r="C80">
        <v>4.9296000000000001E-3</v>
      </c>
      <c r="D80">
        <v>6.6065299999999993E-2</v>
      </c>
      <c r="E80">
        <v>7.09949E-2</v>
      </c>
      <c r="F80">
        <v>1208893159</v>
      </c>
      <c r="G80" s="1">
        <v>3.9599999999999997E-8</v>
      </c>
      <c r="H80">
        <v>44</v>
      </c>
      <c r="J80" s="2" t="s">
        <v>186</v>
      </c>
      <c r="M80">
        <f t="shared" si="1"/>
        <v>67813</v>
      </c>
    </row>
    <row r="81" spans="1:13" x14ac:dyDescent="0.2">
      <c r="A81" t="s">
        <v>89</v>
      </c>
      <c r="B81" t="s">
        <v>9</v>
      </c>
      <c r="C81">
        <v>5.8633000000000001E-3</v>
      </c>
      <c r="D81">
        <v>5.9527900000000002E-2</v>
      </c>
      <c r="E81">
        <v>6.5391199999999997E-2</v>
      </c>
      <c r="F81">
        <v>1793496.9380000001</v>
      </c>
      <c r="G81" s="1">
        <v>7.2900000000000003E-9</v>
      </c>
      <c r="H81">
        <v>39</v>
      </c>
      <c r="J81" s="3" t="s">
        <v>187</v>
      </c>
      <c r="M81">
        <f t="shared" si="1"/>
        <v>172.4000000001397</v>
      </c>
    </row>
    <row r="82" spans="1:13" x14ac:dyDescent="0.2">
      <c r="A82" t="s">
        <v>90</v>
      </c>
      <c r="B82" t="s">
        <v>9</v>
      </c>
      <c r="C82">
        <v>5.1700000000000001E-3</v>
      </c>
      <c r="D82">
        <v>3.4020799999999997E-2</v>
      </c>
      <c r="E82">
        <v>3.9190799999999998E-2</v>
      </c>
      <c r="F82">
        <v>1798729.379</v>
      </c>
      <c r="G82" s="1">
        <v>4.5400000000000003E-8</v>
      </c>
      <c r="H82">
        <v>26</v>
      </c>
      <c r="J82" s="2" t="s">
        <v>188</v>
      </c>
      <c r="M82">
        <f t="shared" si="1"/>
        <v>14.678599999984726</v>
      </c>
    </row>
    <row r="83" spans="1:13" x14ac:dyDescent="0.2">
      <c r="A83" t="s">
        <v>91</v>
      </c>
      <c r="B83" t="s">
        <v>9</v>
      </c>
      <c r="C83">
        <v>1.3909400000000001E-2</v>
      </c>
      <c r="D83">
        <v>6.5332299999999996E-2</v>
      </c>
      <c r="E83">
        <v>7.9241699999999998E-2</v>
      </c>
      <c r="F83">
        <v>1909705.5120000001</v>
      </c>
      <c r="G83" s="1">
        <v>3.55E-8</v>
      </c>
      <c r="H83">
        <v>27</v>
      </c>
      <c r="J83" s="3" t="s">
        <v>189</v>
      </c>
      <c r="M83">
        <f t="shared" si="1"/>
        <v>650.30060000019148</v>
      </c>
    </row>
    <row r="84" spans="1:13" x14ac:dyDescent="0.2">
      <c r="A84" t="s">
        <v>92</v>
      </c>
      <c r="B84" t="s">
        <v>9</v>
      </c>
      <c r="C84">
        <v>6.4650999999999997E-3</v>
      </c>
      <c r="D84">
        <v>9.3307799999999996E-2</v>
      </c>
      <c r="E84">
        <v>9.9772899999999998E-2</v>
      </c>
      <c r="F84">
        <v>1920407.0460000001</v>
      </c>
      <c r="G84" s="1">
        <v>1.5399999999999999E-8</v>
      </c>
      <c r="H84">
        <v>38</v>
      </c>
      <c r="J84" s="2" t="s">
        <v>190</v>
      </c>
      <c r="M84">
        <f t="shared" si="1"/>
        <v>308.8355000000447</v>
      </c>
    </row>
    <row r="85" spans="1:13" x14ac:dyDescent="0.2">
      <c r="A85" t="s">
        <v>93</v>
      </c>
      <c r="B85" t="s">
        <v>9</v>
      </c>
      <c r="C85">
        <v>3.3409000000000001E-2</v>
      </c>
      <c r="D85">
        <v>0.16940749999999999</v>
      </c>
      <c r="E85">
        <v>0.20281650000000001</v>
      </c>
      <c r="F85">
        <v>1470521.3929999999</v>
      </c>
      <c r="G85" s="1">
        <v>2.3000000000000001E-8</v>
      </c>
      <c r="H85">
        <v>40</v>
      </c>
      <c r="J85" s="3" t="s">
        <v>191</v>
      </c>
      <c r="M85">
        <f t="shared" si="1"/>
        <v>333.47369999997318</v>
      </c>
    </row>
    <row r="86" spans="1:13" x14ac:dyDescent="0.2">
      <c r="A86" t="s">
        <v>94</v>
      </c>
      <c r="B86" t="s">
        <v>9</v>
      </c>
      <c r="C86">
        <v>1.0109999999999999E-2</v>
      </c>
      <c r="D86">
        <v>5.6745700000000003E-2</v>
      </c>
      <c r="E86">
        <v>6.6855700000000004E-2</v>
      </c>
      <c r="F86">
        <v>1489463.503</v>
      </c>
      <c r="G86" s="1">
        <v>2.37E-8</v>
      </c>
      <c r="H86">
        <v>27</v>
      </c>
      <c r="J86" s="2" t="s">
        <v>192</v>
      </c>
      <c r="M86">
        <f t="shared" si="1"/>
        <v>227.36859999992885</v>
      </c>
    </row>
    <row r="87" spans="1:13" x14ac:dyDescent="0.2">
      <c r="A87" t="s">
        <v>95</v>
      </c>
      <c r="B87" t="s">
        <v>9</v>
      </c>
      <c r="C87">
        <v>1.1368E-2</v>
      </c>
      <c r="D87">
        <v>7.0670700000000003E-2</v>
      </c>
      <c r="E87">
        <v>8.2038700000000006E-2</v>
      </c>
      <c r="F87">
        <v>15991417.68</v>
      </c>
      <c r="G87" s="1">
        <v>5.9999999999999995E-8</v>
      </c>
      <c r="H87">
        <v>30</v>
      </c>
      <c r="J87" s="3" t="s">
        <v>193</v>
      </c>
      <c r="M87">
        <f t="shared" si="1"/>
        <v>597055.49599999934</v>
      </c>
    </row>
    <row r="88" spans="1:13" x14ac:dyDescent="0.2">
      <c r="A88" t="s">
        <v>96</v>
      </c>
      <c r="B88" t="s">
        <v>9</v>
      </c>
      <c r="C88">
        <v>2.9751999999999999E-3</v>
      </c>
      <c r="D88">
        <v>5.0601399999999998E-2</v>
      </c>
      <c r="E88">
        <v>5.3576600000000002E-2</v>
      </c>
      <c r="F88">
        <v>-251.25914700000001</v>
      </c>
      <c r="G88" s="1">
        <v>9.8399999999999991E-10</v>
      </c>
      <c r="H88">
        <v>35</v>
      </c>
      <c r="J88" s="2" t="s">
        <v>194</v>
      </c>
      <c r="M88">
        <f t="shared" si="1"/>
        <v>7.8041899999732323E-3</v>
      </c>
    </row>
    <row r="89" spans="1:13" x14ac:dyDescent="0.2">
      <c r="A89" t="s">
        <v>97</v>
      </c>
      <c r="B89" t="s">
        <v>9</v>
      </c>
      <c r="C89">
        <v>2.9168000000000002E-3</v>
      </c>
      <c r="D89">
        <v>3.7265E-2</v>
      </c>
      <c r="E89">
        <v>4.0181799999999997E-2</v>
      </c>
      <c r="F89">
        <v>1262.810019</v>
      </c>
      <c r="G89" s="1">
        <v>4.8900000000000001E-8</v>
      </c>
      <c r="H89">
        <v>39</v>
      </c>
      <c r="J89" s="3" t="s">
        <v>195</v>
      </c>
      <c r="M89">
        <f t="shared" si="1"/>
        <v>5.1105190000000675</v>
      </c>
    </row>
    <row r="90" spans="1:13" x14ac:dyDescent="0.2">
      <c r="A90" t="s">
        <v>98</v>
      </c>
      <c r="B90" t="s">
        <v>9</v>
      </c>
      <c r="C90">
        <v>3.6164000000000001E-3</v>
      </c>
      <c r="D90">
        <v>4.1930299999999997E-2</v>
      </c>
      <c r="E90">
        <v>4.5546700000000002E-2</v>
      </c>
      <c r="F90">
        <v>1262.8276960000001</v>
      </c>
      <c r="G90" s="1">
        <v>4.88E-8</v>
      </c>
      <c r="H90">
        <v>39</v>
      </c>
      <c r="J90" s="2" t="s">
        <v>99</v>
      </c>
      <c r="M90" t="e">
        <f t="shared" si="1"/>
        <v>#VALUE!</v>
      </c>
    </row>
    <row r="91" spans="1:13" x14ac:dyDescent="0.2">
      <c r="A91" t="s">
        <v>100</v>
      </c>
      <c r="B91" t="s">
        <v>9</v>
      </c>
      <c r="C91">
        <v>4.1510000000000002E-3</v>
      </c>
      <c r="D91">
        <v>5.6455699999999998E-2</v>
      </c>
      <c r="E91">
        <v>6.0606699999999999E-2</v>
      </c>
      <c r="F91">
        <v>1413.472307</v>
      </c>
      <c r="G91" s="1">
        <v>4.9899999999999997E-8</v>
      </c>
      <c r="H91">
        <v>46</v>
      </c>
      <c r="J91" s="3" t="s">
        <v>196</v>
      </c>
      <c r="M91">
        <f t="shared" si="1"/>
        <v>7.4548070000000735</v>
      </c>
    </row>
    <row r="92" spans="1:13" x14ac:dyDescent="0.2">
      <c r="A92" t="s">
        <v>101</v>
      </c>
      <c r="B92" t="s">
        <v>9</v>
      </c>
      <c r="C92">
        <v>5.6470000000000001E-4</v>
      </c>
      <c r="D92">
        <v>2.6262999999999998E-3</v>
      </c>
      <c r="E92">
        <v>3.1909999999999998E-3</v>
      </c>
      <c r="F92">
        <v>-41131.948369999998</v>
      </c>
      <c r="G92" s="1">
        <v>2.4999999999999999E-8</v>
      </c>
      <c r="H92">
        <v>17</v>
      </c>
      <c r="J92" s="2" t="s">
        <v>197</v>
      </c>
      <c r="M92">
        <f t="shared" si="1"/>
        <v>2.7848999998241197E-2</v>
      </c>
    </row>
    <row r="93" spans="1:13" x14ac:dyDescent="0.2">
      <c r="A93" t="s">
        <v>102</v>
      </c>
      <c r="B93" t="s">
        <v>9</v>
      </c>
      <c r="C93">
        <v>1.03932E-2</v>
      </c>
      <c r="D93">
        <v>0.1004879</v>
      </c>
      <c r="E93">
        <v>0.1108811</v>
      </c>
      <c r="F93">
        <v>-39018.506430000001</v>
      </c>
      <c r="G93" s="1">
        <v>4.5200000000000001E-8</v>
      </c>
      <c r="H93">
        <v>34</v>
      </c>
      <c r="J93" s="3" t="s">
        <v>198</v>
      </c>
      <c r="M93">
        <f t="shared" si="1"/>
        <v>5.9021080000020447</v>
      </c>
    </row>
    <row r="94" spans="1:13" x14ac:dyDescent="0.2">
      <c r="A94" t="s">
        <v>103</v>
      </c>
      <c r="B94" t="s">
        <v>9</v>
      </c>
      <c r="C94">
        <v>0.29463400000000001</v>
      </c>
      <c r="D94">
        <v>1.1343376999999999</v>
      </c>
      <c r="E94">
        <v>1.4289717</v>
      </c>
      <c r="F94">
        <v>-39959.105130000004</v>
      </c>
      <c r="G94" s="1">
        <v>4.4999999999999999E-8</v>
      </c>
      <c r="H94">
        <v>51</v>
      </c>
      <c r="J94" s="2" t="s">
        <v>199</v>
      </c>
      <c r="M94">
        <f t="shared" si="1"/>
        <v>17.556445999995049</v>
      </c>
    </row>
    <row r="95" spans="1:13" x14ac:dyDescent="0.2">
      <c r="A95" t="s">
        <v>104</v>
      </c>
      <c r="B95" t="s">
        <v>9</v>
      </c>
      <c r="C95">
        <v>4.1560399999999997E-2</v>
      </c>
      <c r="D95">
        <v>0.26381019999999999</v>
      </c>
      <c r="E95">
        <v>0.30537059999999999</v>
      </c>
      <c r="F95">
        <v>458815.96779999998</v>
      </c>
      <c r="G95" s="1">
        <v>1.07E-9</v>
      </c>
      <c r="H95">
        <v>29</v>
      </c>
      <c r="J95" s="3" t="s">
        <v>200</v>
      </c>
      <c r="M95">
        <f t="shared" si="1"/>
        <v>0.12060999998357147</v>
      </c>
    </row>
    <row r="96" spans="1:13" x14ac:dyDescent="0.2">
      <c r="A96" t="s">
        <v>105</v>
      </c>
      <c r="B96" t="s">
        <v>9</v>
      </c>
      <c r="C96">
        <v>1.7868000000000001E-3</v>
      </c>
      <c r="D96">
        <v>3.4622300000000002E-2</v>
      </c>
      <c r="E96">
        <v>3.64091E-2</v>
      </c>
      <c r="F96">
        <v>0.29608417300000001</v>
      </c>
      <c r="G96" s="1">
        <v>1.42E-8</v>
      </c>
      <c r="H96">
        <v>33</v>
      </c>
      <c r="J96" s="2" t="s">
        <v>201</v>
      </c>
      <c r="M96">
        <f t="shared" si="1"/>
        <v>3.9364079099999949E-3</v>
      </c>
    </row>
    <row r="97" spans="1:13" x14ac:dyDescent="0.2">
      <c r="A97" t="s">
        <v>106</v>
      </c>
      <c r="B97" t="s">
        <v>9</v>
      </c>
      <c r="C97">
        <v>1.0456E-3</v>
      </c>
      <c r="D97">
        <v>7.7178999999999998E-3</v>
      </c>
      <c r="E97">
        <v>8.7635000000000005E-3</v>
      </c>
      <c r="F97">
        <v>129832.08930000001</v>
      </c>
      <c r="G97" s="1">
        <v>1.46E-11</v>
      </c>
      <c r="H97">
        <v>21</v>
      </c>
      <c r="J97" s="3" t="s">
        <v>202</v>
      </c>
      <c r="M97">
        <f t="shared" si="1"/>
        <v>0.62684000001172535</v>
      </c>
    </row>
    <row r="98" spans="1:13" x14ac:dyDescent="0.2">
      <c r="A98" t="s">
        <v>107</v>
      </c>
      <c r="B98" t="s">
        <v>9</v>
      </c>
      <c r="C98">
        <v>2.1085699999999999E-2</v>
      </c>
      <c r="D98">
        <v>0.52334029999999998</v>
      </c>
      <c r="E98">
        <v>0.54442599999999997</v>
      </c>
      <c r="F98">
        <v>1.444927691</v>
      </c>
      <c r="G98" s="1">
        <v>5.3500000000000003E-8</v>
      </c>
      <c r="H98">
        <v>53</v>
      </c>
      <c r="J98" s="2" t="s">
        <v>203</v>
      </c>
      <c r="M98">
        <f t="shared" si="1"/>
        <v>2.0252793999999685E-3</v>
      </c>
    </row>
    <row r="99" spans="1:13" x14ac:dyDescent="0.2">
      <c r="A99" t="s">
        <v>108</v>
      </c>
      <c r="B99" t="s">
        <v>9</v>
      </c>
      <c r="C99">
        <v>5.0836199999999998E-2</v>
      </c>
      <c r="D99">
        <v>0.67046050000000001</v>
      </c>
      <c r="E99">
        <v>0.72129670000000001</v>
      </c>
      <c r="F99">
        <v>1.3053881540000001</v>
      </c>
      <c r="G99" s="1">
        <v>4.4400000000000001E-8</v>
      </c>
      <c r="H99">
        <v>77</v>
      </c>
      <c r="J99" s="3" t="s">
        <v>204</v>
      </c>
      <c r="M99">
        <f t="shared" si="1"/>
        <v>9.1182090000008209E-4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lp_results_3x3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 Hu</cp:lastModifiedBy>
  <dcterms:created xsi:type="dcterms:W3CDTF">2025-06-07T03:23:38Z</dcterms:created>
  <dcterms:modified xsi:type="dcterms:W3CDTF">2025-06-07T03:23:38Z</dcterms:modified>
</cp:coreProperties>
</file>