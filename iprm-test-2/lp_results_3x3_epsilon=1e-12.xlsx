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OPT2025\iprm-test-2\"/>
    </mc:Choice>
  </mc:AlternateContent>
  <xr:revisionPtr revIDLastSave="0" documentId="8_{D517568E-AFCA-4CDC-8B5F-8D6E3426C96C}" xr6:coauthVersionLast="47" xr6:coauthVersionMax="47" xr10:uidLastSave="{00000000-0000-0000-0000-000000000000}"/>
  <bookViews>
    <workbookView xWindow="-120" yWindow="-120" windowWidth="29040" windowHeight="17640" xr2:uid="{FB579A92-1E45-4BCE-9FE9-576183A3CECE}"/>
  </bookViews>
  <sheets>
    <sheet name="lp_results_3x3_epsilon=1e-12" sheetId="1" r:id="rId1"/>
  </sheets>
  <calcPr calcId="0"/>
</workbook>
</file>

<file path=xl/calcChain.xml><?xml version="1.0" encoding="utf-8"?>
<calcChain xmlns="http://schemas.openxmlformats.org/spreadsheetml/2006/main">
  <c r="M48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2" i="1"/>
</calcChain>
</file>

<file path=xl/sharedStrings.xml><?xml version="1.0" encoding="utf-8"?>
<sst xmlns="http://schemas.openxmlformats.org/spreadsheetml/2006/main" count="308" uniqueCount="206">
  <si>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</si>
  <si>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</si>
  <si>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</si>
  <si>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</si>
  <si>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</si>
  <si>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</si>
  <si>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</si>
  <si>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</si>
  <si>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lp_25fv47</t>
  </si>
  <si>
    <t>QOCO_SOLVED</t>
  </si>
  <si>
    <t>lp_80bau3b</t>
  </si>
  <si>
    <t>lp_adlittle</t>
  </si>
  <si>
    <t>lp_afiro</t>
  </si>
  <si>
    <t>lp_agg</t>
  </si>
  <si>
    <t>lp_agg2</t>
  </si>
  <si>
    <t>lp_agg3</t>
  </si>
  <si>
    <t>lp_bandm</t>
  </si>
  <si>
    <t>lp_beaconfd</t>
  </si>
  <si>
    <t>lp_blend</t>
  </si>
  <si>
    <t>lp_bnl1</t>
  </si>
  <si>
    <t>lp_bnl2</t>
  </si>
  <si>
    <t>lp_boeing1</t>
  </si>
  <si>
    <t>lp_boeing2</t>
  </si>
  <si>
    <t>lp_bore3d</t>
  </si>
  <si>
    <t>lp_brandy</t>
  </si>
  <si>
    <t>lp_capri</t>
  </si>
  <si>
    <t>lp_cycle</t>
  </si>
  <si>
    <t>lp_czprob</t>
  </si>
  <si>
    <t>lp_d2q06c</t>
  </si>
  <si>
    <t>lp_d6cube</t>
  </si>
  <si>
    <t>QOCO_MAX_ITER</t>
  </si>
  <si>
    <t>lp_degen2</t>
  </si>
  <si>
    <t>lp_degen3</t>
  </si>
  <si>
    <t>lp_dfl001</t>
  </si>
  <si>
    <t>lp_e226</t>
  </si>
  <si>
    <t>lp_etamacro</t>
  </si>
  <si>
    <t>lp_fffff800</t>
  </si>
  <si>
    <t>lp_finnis</t>
  </si>
  <si>
    <t>lp_fit1d</t>
  </si>
  <si>
    <t>lp_fit1p</t>
  </si>
  <si>
    <t>lp_fit2d</t>
  </si>
  <si>
    <t>lp_fit2p</t>
  </si>
  <si>
    <t>lp_forplan</t>
  </si>
  <si>
    <t>lp_ganges</t>
  </si>
  <si>
    <t>lp_gfrd_pnc</t>
  </si>
  <si>
    <t>lp_greenbea</t>
  </si>
  <si>
    <t>lp_greenbeb</t>
  </si>
  <si>
    <t>lp_grow15</t>
  </si>
  <si>
    <t>lp_grow22</t>
  </si>
  <si>
    <t>lp_grow7</t>
  </si>
  <si>
    <t>lp_israel</t>
  </si>
  <si>
    <t>lp_kb2</t>
  </si>
  <si>
    <t>lp_lotfi</t>
  </si>
  <si>
    <t>lp_maros</t>
  </si>
  <si>
    <t>lp_maros_r7</t>
  </si>
  <si>
    <t>lp_modszk1</t>
  </si>
  <si>
    <t>lp_nesm</t>
  </si>
  <si>
    <t>lp_perold</t>
  </si>
  <si>
    <t>lp_pilot</t>
  </si>
  <si>
    <t>lp_pilot4</t>
  </si>
  <si>
    <t>lp_pilot87</t>
  </si>
  <si>
    <t>lp_pilot_ja</t>
  </si>
  <si>
    <t>lp_pilot_we</t>
  </si>
  <si>
    <t>lp_pilotnov</t>
  </si>
  <si>
    <t>lp_qap12</t>
  </si>
  <si>
    <t>NaN</t>
  </si>
  <si>
    <t>lp_qap15</t>
  </si>
  <si>
    <t>lp_qap8</t>
  </si>
  <si>
    <t>lp_recipe</t>
  </si>
  <si>
    <t>lp_sc105</t>
  </si>
  <si>
    <t>lp_sc205</t>
  </si>
  <si>
    <t>lp_sc50a</t>
  </si>
  <si>
    <t>lp_sc50b</t>
  </si>
  <si>
    <t>lp_scagr25</t>
  </si>
  <si>
    <t>lp_scagr7</t>
  </si>
  <si>
    <t>lp_scfxm1</t>
  </si>
  <si>
    <t>lp_scfxm2</t>
  </si>
  <si>
    <t>lp_scfxm3</t>
  </si>
  <si>
    <t>lp_scorpion</t>
  </si>
  <si>
    <t>lp_scrs8</t>
  </si>
  <si>
    <t>lp_scsd1</t>
  </si>
  <si>
    <t>lp_scsd6</t>
  </si>
  <si>
    <t>lp_scsd8</t>
  </si>
  <si>
    <t>lp_sctap1</t>
  </si>
  <si>
    <t>lp_sctap2</t>
  </si>
  <si>
    <t>lp_sctap3</t>
  </si>
  <si>
    <t>lp_seba</t>
  </si>
  <si>
    <t>lp_share1b</t>
  </si>
  <si>
    <t>lp_share2b</t>
  </si>
  <si>
    <t>lp_shell</t>
  </si>
  <si>
    <t>lp_ship04l</t>
  </si>
  <si>
    <t>lp_ship04s</t>
  </si>
  <si>
    <t>lp_ship08l</t>
  </si>
  <si>
    <t>lp_ship08s</t>
  </si>
  <si>
    <t>lp_ship12l</t>
  </si>
  <si>
    <t>lp_ship12s</t>
  </si>
  <si>
    <t>lp_sierra</t>
  </si>
  <si>
    <t>lp_stair</t>
  </si>
  <si>
    <t>lp_standata</t>
  </si>
  <si>
    <t>lp_standgub</t>
  </si>
  <si>
    <t>-</t>
  </si>
  <si>
    <t>lp_standmps</t>
  </si>
  <si>
    <t>lp_stocfor1</t>
  </si>
  <si>
    <t>lp_stocfor2</t>
  </si>
  <si>
    <t>lp_stocfor3</t>
  </si>
  <si>
    <t>lp_truss</t>
  </si>
  <si>
    <t>lp_tuff</t>
  </si>
  <si>
    <t>lp_vtp_base</t>
  </si>
  <si>
    <t>lp_wood1p</t>
  </si>
  <si>
    <t>lp_woodw</t>
  </si>
  <si>
    <t>5.5018458883E+03</t>
  </si>
  <si>
    <t>9.8723216072E+05</t>
  </si>
  <si>
    <t>2.2549496316E+05</t>
  </si>
  <si>
    <t>-4.6475314286E+02</t>
  </si>
  <si>
    <t>-3.5991767287E+07</t>
  </si>
  <si>
    <t>-2.0239252356E+07</t>
  </si>
  <si>
    <t>1.0312115935E+07</t>
  </si>
  <si>
    <t>-1.5862801845E+02</t>
  </si>
  <si>
    <t>3.3592485807E+04</t>
  </si>
  <si>
    <t>-3.0812149846E+01</t>
  </si>
  <si>
    <t>1.9776292856E+03</t>
  </si>
  <si>
    <t>1.8112365404E+03</t>
  </si>
  <si>
    <t>-3.3521356751E+02</t>
  </si>
  <si>
    <t>-3.1501872802E+02</t>
  </si>
  <si>
    <t>1.3730803942E+03</t>
  </si>
  <si>
    <t>1.5185098965E+03</t>
  </si>
  <si>
    <t>2.6900129138E+03</t>
  </si>
  <si>
    <t>-5.2263930249E+00</t>
  </si>
  <si>
    <t>2.1851966989E+06</t>
  </si>
  <si>
    <t>1.2278423615E+05</t>
  </si>
  <si>
    <t>3.1549166667E+02</t>
  </si>
  <si>
    <t>-1.4351780000E+03</t>
  </si>
  <si>
    <t>-9.8729400000E+02</t>
  </si>
  <si>
    <t>1.12664E+07</t>
  </si>
  <si>
    <t>-1.8751929066E+01</t>
  </si>
  <si>
    <t>-7.5571521774E+02</t>
  </si>
  <si>
    <t>5.5567961165E+05</t>
  </si>
  <si>
    <t>1.7279096547E+05</t>
  </si>
  <si>
    <t>-9.1463780924E+03</t>
  </si>
  <si>
    <t>9.1463780924E+03</t>
  </si>
  <si>
    <t>-6.8464293294E+04</t>
  </si>
  <si>
    <t>6.8464293232E+04</t>
  </si>
  <si>
    <t>-6.6421873953E+02</t>
  </si>
  <si>
    <t>-1.0958636356E+05</t>
  </si>
  <si>
    <t>6.9022359995E+06</t>
  </si>
  <si>
    <t>-7.2462405908E+07</t>
  </si>
  <si>
    <t>-4.3021476065E+06</t>
  </si>
  <si>
    <t>-1.0687094129E+08</t>
  </si>
  <si>
    <t>-1.6083433648E+08</t>
  </si>
  <si>
    <t>-4.7787811815E+07</t>
  </si>
  <si>
    <t>-8.9664482186E+05</t>
  </si>
  <si>
    <t>-1.7499001299E+03</t>
  </si>
  <si>
    <t>-2.5264706062E+01</t>
  </si>
  <si>
    <t>-5.8063743701E+04</t>
  </si>
  <si>
    <t>1.4971851665E+06</t>
  </si>
  <si>
    <t>3.2061972906E+02</t>
  </si>
  <si>
    <t>1.4076073035E+07</t>
  </si>
  <si>
    <t>-9.3807580773E+03</t>
  </si>
  <si>
    <t>-5.5740430007E+02</t>
  </si>
  <si>
    <t>-6.1131344111E+03</t>
  </si>
  <si>
    <t>-2.7201027439E+06</t>
  </si>
  <si>
    <t>-2.5811392641E+03</t>
  </si>
  <si>
    <t>3.0171072827E+02</t>
  </si>
  <si>
    <t>-4.4972761882E+03</t>
  </si>
  <si>
    <t>2.0350000000E+02</t>
  </si>
  <si>
    <t>5.2289435056E+02</t>
  </si>
  <si>
    <t>1.0409940410E+03</t>
  </si>
  <si>
    <t>-2.6661600000E+02</t>
  </si>
  <si>
    <t>-5.2202061212E+01</t>
  </si>
  <si>
    <t>-6.4575077059E+01</t>
  </si>
  <si>
    <t>-7.0000000000E+01</t>
  </si>
  <si>
    <t>-1.4753433061E+07</t>
  </si>
  <si>
    <t>-2.3313892548E+06</t>
  </si>
  <si>
    <t>1.8416759028E+04</t>
  </si>
  <si>
    <t>3.6660261565E+04</t>
  </si>
  <si>
    <t>5.4901254550E+04</t>
  </si>
  <si>
    <t>1.8781248227E+03</t>
  </si>
  <si>
    <t>9.0429998619E+02</t>
  </si>
  <si>
    <t>8.6666666743E+00</t>
  </si>
  <si>
    <t>5.0500000078E+01</t>
  </si>
  <si>
    <t>9.0499999993E+02</t>
  </si>
  <si>
    <t>1.4122500000E+03</t>
  </si>
  <si>
    <t>1.7248071429E+03</t>
  </si>
  <si>
    <t>1.4240000000E+03</t>
  </si>
  <si>
    <t>1.5711600000E+04</t>
  </si>
  <si>
    <t>-7.6589318579E+04</t>
  </si>
  <si>
    <t>-4.1573224074E+02</t>
  </si>
  <si>
    <t>1.2088253460E+09</t>
  </si>
  <si>
    <t>1.7933245380E+06</t>
  </si>
  <si>
    <t>1.7987147004E+06</t>
  </si>
  <si>
    <t>1.9090552114E+06</t>
  </si>
  <si>
    <t>1.9200982105E+06</t>
  </si>
  <si>
    <t>1.4701879193E+06</t>
  </si>
  <si>
    <t>1.4892361344E+06</t>
  </si>
  <si>
    <t>1.5394362184E+07</t>
  </si>
  <si>
    <t>-2.5126695119E+02</t>
  </si>
  <si>
    <t>1.2576995000E+03</t>
  </si>
  <si>
    <t>1.4060175000E+03</t>
  </si>
  <si>
    <t>-4.1131976219E+04</t>
  </si>
  <si>
    <t>-3.9024408538E+04</t>
  </si>
  <si>
    <t>-3.9976661576E+04</t>
  </si>
  <si>
    <t>4.5881584719E+05</t>
  </si>
  <si>
    <t>2.9214776509E-01</t>
  </si>
  <si>
    <t>1.2983146246E+05</t>
  </si>
  <si>
    <t>1.4429024116E+00</t>
  </si>
  <si>
    <t>1.3044763331E+00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</si>
</sst>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0" xfId="0" applyBorder="1" applyAlignment="1"/>
    <xf numFmtId="0" fontId="0" fillId="33" borderId="10" xfId="0" applyFill="1" applyBorder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A967-5F4F-4ACE-8681-5A8DD09A841D}">
  <dimension ref="A1:M99"/>
  <sheetViews>
    <sheetView tabSelected="1" workbookViewId="0">
      <selection activeCell="M49" sqref="M49"/>
    </sheetView>
  </sheetViews>
  <sheetFormatPr defaultRowHeight="14.25" x14ac:dyDescent="0.2"/>
  <cols>
    <col min="13" max="13" width="10.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">
      <c r="A2" t="s">
        <v>8</v>
      </c>
      <c r="B2" t="s">
        <v>9</v>
      </c>
      <c r="C2">
        <v>7.5718000000000001E-3</v>
      </c>
      <c r="D2">
        <v>0.24321129999999999</v>
      </c>
      <c r="E2">
        <v>0.25078309999999998</v>
      </c>
      <c r="F2">
        <v>5501.8458920000003</v>
      </c>
      <c r="G2" s="1">
        <v>5.7899999999999996E-13</v>
      </c>
      <c r="H2">
        <v>57</v>
      </c>
      <c r="J2" s="2" t="s">
        <v>110</v>
      </c>
      <c r="M2" s="1">
        <f>F2-J2</f>
        <v>3.6999999792897142E-6</v>
      </c>
    </row>
    <row r="3" spans="1:13" x14ac:dyDescent="0.2">
      <c r="A3" t="s">
        <v>10</v>
      </c>
      <c r="B3" t="s">
        <v>9</v>
      </c>
      <c r="C3">
        <v>5.1140600000000001E-2</v>
      </c>
      <c r="D3">
        <v>1.0597736</v>
      </c>
      <c r="E3">
        <v>1.1109142000000001</v>
      </c>
      <c r="F3">
        <v>987224.23250000004</v>
      </c>
      <c r="G3" s="1">
        <v>2.8000000000000002E-13</v>
      </c>
      <c r="H3">
        <v>120</v>
      </c>
      <c r="J3" s="3" t="s">
        <v>111</v>
      </c>
      <c r="M3" s="1">
        <f t="shared" ref="M3:M66" si="0">F3-J3</f>
        <v>-7.9282200000016019</v>
      </c>
    </row>
    <row r="4" spans="1:13" x14ac:dyDescent="0.2">
      <c r="A4" t="s">
        <v>11</v>
      </c>
      <c r="B4" t="s">
        <v>9</v>
      </c>
      <c r="C4">
        <v>4.6910000000000002E-4</v>
      </c>
      <c r="D4">
        <v>5.0369000000000004E-3</v>
      </c>
      <c r="E4">
        <v>5.5059999999999996E-3</v>
      </c>
      <c r="F4">
        <v>225494.96359999999</v>
      </c>
      <c r="G4" s="1">
        <v>1.6E-13</v>
      </c>
      <c r="H4">
        <v>28</v>
      </c>
      <c r="J4" s="2" t="s">
        <v>112</v>
      </c>
      <c r="M4" s="1">
        <f t="shared" si="0"/>
        <v>4.3999997433274984E-4</v>
      </c>
    </row>
    <row r="5" spans="1:13" x14ac:dyDescent="0.2">
      <c r="A5" t="s">
        <v>12</v>
      </c>
      <c r="B5" t="s">
        <v>9</v>
      </c>
      <c r="C5" s="1">
        <v>8.5699999999999996E-5</v>
      </c>
      <c r="D5">
        <v>6.0619999999999999E-4</v>
      </c>
      <c r="E5">
        <v>6.9189999999999996E-4</v>
      </c>
      <c r="F5">
        <v>-464.75314279999998</v>
      </c>
      <c r="G5" s="1">
        <v>2.5100000000000001E-21</v>
      </c>
      <c r="H5">
        <v>12</v>
      </c>
      <c r="J5" s="3" t="s">
        <v>113</v>
      </c>
      <c r="M5" s="1">
        <f t="shared" si="0"/>
        <v>6.0000047596986406E-8</v>
      </c>
    </row>
    <row r="6" spans="1:13" x14ac:dyDescent="0.2">
      <c r="A6" t="s">
        <v>13</v>
      </c>
      <c r="B6" t="s">
        <v>9</v>
      </c>
      <c r="C6">
        <v>1.5789000000000001E-3</v>
      </c>
      <c r="D6">
        <v>2.7459899999999999E-2</v>
      </c>
      <c r="E6">
        <v>2.90388E-2</v>
      </c>
      <c r="F6">
        <v>-35991671.689999998</v>
      </c>
      <c r="G6" s="1">
        <v>1.12E-13</v>
      </c>
      <c r="H6">
        <v>45</v>
      </c>
      <c r="J6" s="2" t="s">
        <v>114</v>
      </c>
      <c r="M6" s="1">
        <f t="shared" si="0"/>
        <v>95.597000002861023</v>
      </c>
    </row>
    <row r="7" spans="1:13" x14ac:dyDescent="0.2">
      <c r="A7" t="s">
        <v>14</v>
      </c>
      <c r="B7" t="s">
        <v>9</v>
      </c>
      <c r="C7">
        <v>1.7876000000000001E-3</v>
      </c>
      <c r="D7">
        <v>7.4678499999999995E-2</v>
      </c>
      <c r="E7">
        <v>7.6466099999999995E-2</v>
      </c>
      <c r="F7">
        <v>-20239245.68</v>
      </c>
      <c r="G7" s="1">
        <v>2.67E-16</v>
      </c>
      <c r="H7">
        <v>42</v>
      </c>
      <c r="J7" s="3" t="s">
        <v>115</v>
      </c>
      <c r="M7" s="1">
        <f t="shared" si="0"/>
        <v>6.6759999990463257</v>
      </c>
    </row>
    <row r="8" spans="1:13" x14ac:dyDescent="0.2">
      <c r="A8" t="s">
        <v>15</v>
      </c>
      <c r="B8" t="s">
        <v>9</v>
      </c>
      <c r="C8">
        <v>2.1838999999999999E-3</v>
      </c>
      <c r="D8">
        <v>6.9589600000000001E-2</v>
      </c>
      <c r="E8">
        <v>7.1773500000000004E-2</v>
      </c>
      <c r="F8">
        <v>10312131.9</v>
      </c>
      <c r="G8" s="1">
        <v>5.2000000000000001E-13</v>
      </c>
      <c r="H8">
        <v>41</v>
      </c>
      <c r="J8" s="2" t="s">
        <v>116</v>
      </c>
      <c r="M8" s="1">
        <f t="shared" si="0"/>
        <v>15.964999999850988</v>
      </c>
    </row>
    <row r="9" spans="1:13" x14ac:dyDescent="0.2">
      <c r="A9" t="s">
        <v>16</v>
      </c>
      <c r="B9" t="s">
        <v>9</v>
      </c>
      <c r="C9">
        <v>1.1236E-3</v>
      </c>
      <c r="D9">
        <v>1.93416E-2</v>
      </c>
      <c r="E9">
        <v>2.0465199999999999E-2</v>
      </c>
      <c r="F9">
        <v>-158.6280184</v>
      </c>
      <c r="G9" s="1">
        <v>7.7399999999999998E-17</v>
      </c>
      <c r="H9">
        <v>36</v>
      </c>
      <c r="J9" s="3" t="s">
        <v>117</v>
      </c>
      <c r="M9" s="1">
        <f t="shared" si="0"/>
        <v>5.0000011242445908E-8</v>
      </c>
    </row>
    <row r="10" spans="1:13" x14ac:dyDescent="0.2">
      <c r="A10" t="s">
        <v>17</v>
      </c>
      <c r="B10" t="s">
        <v>9</v>
      </c>
      <c r="C10">
        <v>1.1724000000000001E-3</v>
      </c>
      <c r="D10">
        <v>1.1513199999999999E-2</v>
      </c>
      <c r="E10">
        <v>1.26856E-2</v>
      </c>
      <c r="F10">
        <v>33592.485860000001</v>
      </c>
      <c r="G10" s="1">
        <v>2.2199999999999999E-13</v>
      </c>
      <c r="H10">
        <v>30</v>
      </c>
      <c r="J10" s="2" t="s">
        <v>118</v>
      </c>
      <c r="M10" s="1">
        <f t="shared" si="0"/>
        <v>5.3000003390479833E-5</v>
      </c>
    </row>
    <row r="11" spans="1:13" x14ac:dyDescent="0.2">
      <c r="A11" t="s">
        <v>18</v>
      </c>
      <c r="B11" t="s">
        <v>9</v>
      </c>
      <c r="C11">
        <v>3.636E-4</v>
      </c>
      <c r="D11">
        <v>4.0499999999999998E-3</v>
      </c>
      <c r="E11">
        <v>4.4136000000000002E-3</v>
      </c>
      <c r="F11">
        <v>-30.81214984</v>
      </c>
      <c r="G11" s="1">
        <v>4.7200000000000003E-18</v>
      </c>
      <c r="H11">
        <v>26</v>
      </c>
      <c r="J11" s="3" t="s">
        <v>119</v>
      </c>
      <c r="M11" s="1">
        <f t="shared" si="0"/>
        <v>6.000000496442226E-9</v>
      </c>
    </row>
    <row r="12" spans="1:13" x14ac:dyDescent="0.2">
      <c r="A12" t="s">
        <v>19</v>
      </c>
      <c r="B12" t="s">
        <v>9</v>
      </c>
      <c r="C12">
        <v>4.1284E-3</v>
      </c>
      <c r="D12">
        <v>0.1122948</v>
      </c>
      <c r="E12">
        <v>0.1164232</v>
      </c>
      <c r="F12">
        <v>1977.629602</v>
      </c>
      <c r="G12" s="1">
        <v>3.3599999999999998E-13</v>
      </c>
      <c r="H12">
        <v>71</v>
      </c>
      <c r="J12" s="2" t="s">
        <v>120</v>
      </c>
      <c r="M12" s="1">
        <f t="shared" si="0"/>
        <v>3.1639999997423729E-4</v>
      </c>
    </row>
    <row r="13" spans="1:13" x14ac:dyDescent="0.2">
      <c r="A13" t="s">
        <v>20</v>
      </c>
      <c r="B13" t="s">
        <v>9</v>
      </c>
      <c r="C13">
        <v>1.31339E-2</v>
      </c>
      <c r="D13">
        <v>0.90535500000000002</v>
      </c>
      <c r="E13">
        <v>0.91848890000000005</v>
      </c>
      <c r="F13">
        <v>1811.401145</v>
      </c>
      <c r="G13" s="1">
        <v>3.4300000000000003E-14</v>
      </c>
      <c r="H13">
        <v>86</v>
      </c>
      <c r="J13" s="3" t="s">
        <v>121</v>
      </c>
      <c r="M13" s="1">
        <f t="shared" si="0"/>
        <v>0.16460460000007515</v>
      </c>
    </row>
    <row r="14" spans="1:13" x14ac:dyDescent="0.2">
      <c r="A14" t="s">
        <v>21</v>
      </c>
      <c r="B14" t="s">
        <v>9</v>
      </c>
      <c r="C14">
        <v>2.4965E-3</v>
      </c>
      <c r="D14">
        <v>3.4192300000000002E-2</v>
      </c>
      <c r="E14">
        <v>3.6688800000000001E-2</v>
      </c>
      <c r="F14">
        <v>-335.2135672</v>
      </c>
      <c r="G14" s="1">
        <v>2.4300000000000001E-14</v>
      </c>
      <c r="H14">
        <v>44</v>
      </c>
      <c r="J14" s="2" t="s">
        <v>122</v>
      </c>
      <c r="M14" s="1">
        <f t="shared" si="0"/>
        <v>3.1000001854408765E-7</v>
      </c>
    </row>
    <row r="15" spans="1:13" x14ac:dyDescent="0.2">
      <c r="A15" t="s">
        <v>22</v>
      </c>
      <c r="B15" t="s">
        <v>9</v>
      </c>
      <c r="C15">
        <v>8.0060000000000005E-4</v>
      </c>
      <c r="D15">
        <v>1.22974E-2</v>
      </c>
      <c r="E15">
        <v>1.3098E-2</v>
      </c>
      <c r="F15">
        <v>-315.0187257</v>
      </c>
      <c r="G15" s="1">
        <v>3.1600000000000001E-16</v>
      </c>
      <c r="H15">
        <v>34</v>
      </c>
      <c r="J15" s="3" t="s">
        <v>123</v>
      </c>
      <c r="M15" s="1">
        <f t="shared" si="0"/>
        <v>2.3200000214274041E-6</v>
      </c>
    </row>
    <row r="16" spans="1:13" x14ac:dyDescent="0.2">
      <c r="A16" t="s">
        <v>23</v>
      </c>
      <c r="B16" t="s">
        <v>9</v>
      </c>
      <c r="C16">
        <v>1.0139000000000001E-3</v>
      </c>
      <c r="D16">
        <v>9.0843E-3</v>
      </c>
      <c r="E16">
        <v>1.00982E-2</v>
      </c>
      <c r="F16">
        <v>1373.080395</v>
      </c>
      <c r="G16" s="1">
        <v>2.3200000000000001E-14</v>
      </c>
      <c r="H16">
        <v>32</v>
      </c>
      <c r="J16" s="2" t="s">
        <v>124</v>
      </c>
      <c r="M16" s="1">
        <f t="shared" si="0"/>
        <v>7.9999995250545908E-7</v>
      </c>
    </row>
    <row r="17" spans="1:13" x14ac:dyDescent="0.2">
      <c r="A17" t="s">
        <v>24</v>
      </c>
      <c r="B17" t="s">
        <v>9</v>
      </c>
      <c r="C17">
        <v>1.0621000000000001E-3</v>
      </c>
      <c r="D17">
        <v>1.7126200000000001E-2</v>
      </c>
      <c r="E17">
        <v>1.8188300000000001E-2</v>
      </c>
      <c r="F17">
        <v>1518.5098969999999</v>
      </c>
      <c r="G17" s="1">
        <v>2.04E-15</v>
      </c>
      <c r="H17">
        <v>33</v>
      </c>
      <c r="J17" s="3" t="s">
        <v>125</v>
      </c>
      <c r="M17" s="1">
        <f t="shared" si="0"/>
        <v>4.9999994189420249E-7</v>
      </c>
    </row>
    <row r="18" spans="1:13" x14ac:dyDescent="0.2">
      <c r="A18" t="s">
        <v>25</v>
      </c>
      <c r="B18" t="s">
        <v>9</v>
      </c>
      <c r="C18">
        <v>1.1563999999999999E-3</v>
      </c>
      <c r="D18">
        <v>2.1355200000000001E-2</v>
      </c>
      <c r="E18">
        <v>2.25116E-2</v>
      </c>
      <c r="F18">
        <v>2690.0129149999998</v>
      </c>
      <c r="G18" s="1">
        <v>6.4699999999999997E-13</v>
      </c>
      <c r="H18">
        <v>39</v>
      </c>
      <c r="J18" s="2" t="s">
        <v>126</v>
      </c>
      <c r="M18" s="1">
        <f t="shared" si="0"/>
        <v>1.1999995876976755E-6</v>
      </c>
    </row>
    <row r="19" spans="1:13" x14ac:dyDescent="0.2">
      <c r="A19" t="s">
        <v>26</v>
      </c>
      <c r="B19" t="s">
        <v>9</v>
      </c>
      <c r="C19">
        <v>1.8978999999999999E-2</v>
      </c>
      <c r="D19">
        <v>1.162847</v>
      </c>
      <c r="E19">
        <v>1.181826</v>
      </c>
      <c r="F19">
        <v>-5.2257336690000002</v>
      </c>
      <c r="G19" s="1">
        <v>9.9900000000000009E-13</v>
      </c>
      <c r="H19">
        <v>160</v>
      </c>
      <c r="J19" s="3" t="s">
        <v>127</v>
      </c>
      <c r="M19" s="1">
        <f t="shared" si="0"/>
        <v>6.5935589999988053E-4</v>
      </c>
    </row>
    <row r="20" spans="1:13" x14ac:dyDescent="0.2">
      <c r="A20" t="s">
        <v>27</v>
      </c>
      <c r="B20" t="s">
        <v>9</v>
      </c>
      <c r="C20">
        <v>1.5791699999999999E-2</v>
      </c>
      <c r="D20">
        <v>0.12919050000000001</v>
      </c>
      <c r="E20">
        <v>0.14498220000000001</v>
      </c>
      <c r="F20">
        <v>2185196.7000000002</v>
      </c>
      <c r="G20" s="1">
        <v>4.83E-15</v>
      </c>
      <c r="H20">
        <v>69</v>
      </c>
      <c r="J20" s="2" t="s">
        <v>128</v>
      </c>
      <c r="M20" s="1">
        <f t="shared" si="0"/>
        <v>1.0999999940395355E-3</v>
      </c>
    </row>
    <row r="21" spans="1:13" x14ac:dyDescent="0.2">
      <c r="A21" t="s">
        <v>28</v>
      </c>
      <c r="B21" t="s">
        <v>9</v>
      </c>
      <c r="C21">
        <v>1.9604799999999999E-2</v>
      </c>
      <c r="D21">
        <v>1.3232408</v>
      </c>
      <c r="E21">
        <v>1.3428456</v>
      </c>
      <c r="F21">
        <v>122784.2115</v>
      </c>
      <c r="G21" s="1">
        <v>7.35E-13</v>
      </c>
      <c r="H21">
        <v>67</v>
      </c>
      <c r="J21" s="3" t="s">
        <v>129</v>
      </c>
      <c r="M21" s="1">
        <f t="shared" si="0"/>
        <v>-2.4649999992107041E-2</v>
      </c>
    </row>
    <row r="22" spans="1:13" x14ac:dyDescent="0.2">
      <c r="A22" t="s">
        <v>29</v>
      </c>
      <c r="B22" t="s">
        <v>30</v>
      </c>
      <c r="C22">
        <v>1.9807399999999999E-2</v>
      </c>
      <c r="D22">
        <v>2.2334095</v>
      </c>
      <c r="E22">
        <v>2.2532169</v>
      </c>
      <c r="F22" s="1">
        <v>-638897000000000</v>
      </c>
      <c r="G22" s="1">
        <v>4.56E+22</v>
      </c>
      <c r="H22">
        <v>200</v>
      </c>
      <c r="J22" s="2" t="s">
        <v>130</v>
      </c>
      <c r="M22" s="1">
        <f t="shared" si="0"/>
        <v>-638897000000315.5</v>
      </c>
    </row>
    <row r="23" spans="1:13" x14ac:dyDescent="0.2">
      <c r="A23" t="s">
        <v>31</v>
      </c>
      <c r="B23" t="s">
        <v>9</v>
      </c>
      <c r="C23">
        <v>2.6833999999999998E-3</v>
      </c>
      <c r="D23">
        <v>3.7877500000000001E-2</v>
      </c>
      <c r="E23">
        <v>4.0560899999999997E-2</v>
      </c>
      <c r="F23">
        <v>-1435.1779919999999</v>
      </c>
      <c r="G23" s="1">
        <v>9.0199999999999997E-14</v>
      </c>
      <c r="H23">
        <v>26</v>
      </c>
      <c r="J23" s="3" t="s">
        <v>131</v>
      </c>
      <c r="M23" s="1">
        <f t="shared" si="0"/>
        <v>8.0000002071756171E-6</v>
      </c>
    </row>
    <row r="24" spans="1:13" x14ac:dyDescent="0.2">
      <c r="A24" t="s">
        <v>32</v>
      </c>
      <c r="B24" t="s">
        <v>9</v>
      </c>
      <c r="C24">
        <v>1.5140799999999999E-2</v>
      </c>
      <c r="D24">
        <v>0.49292370000000002</v>
      </c>
      <c r="E24">
        <v>0.50806450000000003</v>
      </c>
      <c r="F24">
        <v>-987.29399969999997</v>
      </c>
      <c r="G24" s="1">
        <v>1.01E-17</v>
      </c>
      <c r="H24">
        <v>35</v>
      </c>
      <c r="J24" s="2" t="s">
        <v>132</v>
      </c>
      <c r="M24" s="1">
        <f t="shared" si="0"/>
        <v>3.0000001061125658E-7</v>
      </c>
    </row>
    <row r="25" spans="1:13" x14ac:dyDescent="0.2">
      <c r="A25" t="s">
        <v>33</v>
      </c>
      <c r="B25" t="s">
        <v>9</v>
      </c>
      <c r="C25">
        <v>8.49105E-2</v>
      </c>
      <c r="D25">
        <v>153.2555433</v>
      </c>
      <c r="E25">
        <v>153.34045380000001</v>
      </c>
      <c r="F25">
        <v>11266416.140000001</v>
      </c>
      <c r="G25" s="1">
        <v>6.9299999999999998E-13</v>
      </c>
      <c r="H25">
        <v>106</v>
      </c>
      <c r="J25" s="3" t="s">
        <v>133</v>
      </c>
      <c r="M25" s="1">
        <f t="shared" si="0"/>
        <v>16.140000000596046</v>
      </c>
    </row>
    <row r="26" spans="1:13" x14ac:dyDescent="0.2">
      <c r="A26" t="s">
        <v>34</v>
      </c>
      <c r="B26" t="s">
        <v>9</v>
      </c>
      <c r="C26">
        <v>1.2974E-3</v>
      </c>
      <c r="D26">
        <v>1.8626799999999999E-2</v>
      </c>
      <c r="E26">
        <v>1.99242E-2</v>
      </c>
      <c r="F26">
        <v>-18.751929029999999</v>
      </c>
      <c r="G26" s="1">
        <v>3.7700000000000001E-13</v>
      </c>
      <c r="H26">
        <v>37</v>
      </c>
      <c r="J26" s="2" t="s">
        <v>134</v>
      </c>
      <c r="M26" s="1">
        <f t="shared" si="0"/>
        <v>3.5999999425939677E-8</v>
      </c>
    </row>
    <row r="27" spans="1:13" x14ac:dyDescent="0.2">
      <c r="A27" t="s">
        <v>35</v>
      </c>
      <c r="B27" t="s">
        <v>9</v>
      </c>
      <c r="C27">
        <v>2.1362999999999998E-3</v>
      </c>
      <c r="D27">
        <v>8.5274100000000005E-2</v>
      </c>
      <c r="E27">
        <v>8.7410399999999999E-2</v>
      </c>
      <c r="F27">
        <v>-755.71521680000001</v>
      </c>
      <c r="G27" s="1">
        <v>9.8200000000000001E-14</v>
      </c>
      <c r="H27">
        <v>48</v>
      </c>
      <c r="J27" s="3" t="s">
        <v>135</v>
      </c>
      <c r="M27" s="1">
        <f t="shared" si="0"/>
        <v>9.399999498782563E-7</v>
      </c>
    </row>
    <row r="28" spans="1:13" x14ac:dyDescent="0.2">
      <c r="A28" t="s">
        <v>36</v>
      </c>
      <c r="B28" t="s">
        <v>9</v>
      </c>
      <c r="C28">
        <v>4.8025000000000003E-3</v>
      </c>
      <c r="D28">
        <v>0.13980600000000001</v>
      </c>
      <c r="E28">
        <v>0.1446085</v>
      </c>
      <c r="F28">
        <v>555679.56550000003</v>
      </c>
      <c r="G28" s="1">
        <v>6.9699999999999996E-13</v>
      </c>
      <c r="H28">
        <v>63</v>
      </c>
      <c r="J28" s="2" t="s">
        <v>136</v>
      </c>
      <c r="M28" s="1">
        <f t="shared" si="0"/>
        <v>-4.6149999951012433E-2</v>
      </c>
    </row>
    <row r="29" spans="1:13" x14ac:dyDescent="0.2">
      <c r="A29" t="s">
        <v>37</v>
      </c>
      <c r="B29" t="s">
        <v>9</v>
      </c>
      <c r="C29">
        <v>3.7263000000000001E-3</v>
      </c>
      <c r="D29">
        <v>0.13858480000000001</v>
      </c>
      <c r="E29">
        <v>0.1423111</v>
      </c>
      <c r="F29">
        <v>172793.74220000001</v>
      </c>
      <c r="G29" s="1">
        <v>8.3999999999999995E-13</v>
      </c>
      <c r="H29">
        <v>127</v>
      </c>
      <c r="J29" s="3" t="s">
        <v>137</v>
      </c>
      <c r="M29" s="1">
        <f t="shared" si="0"/>
        <v>2.7767300000123214</v>
      </c>
    </row>
    <row r="30" spans="1:13" x14ac:dyDescent="0.2">
      <c r="A30" t="s">
        <v>38</v>
      </c>
      <c r="B30" t="s">
        <v>9</v>
      </c>
      <c r="C30">
        <v>5.6629999999999996E-3</v>
      </c>
      <c r="D30">
        <v>6.9591799999999995E-2</v>
      </c>
      <c r="E30">
        <v>7.5254799999999997E-2</v>
      </c>
      <c r="F30">
        <v>-9146.3780920000008</v>
      </c>
      <c r="G30" s="1">
        <v>3.8199999999999998E-15</v>
      </c>
      <c r="H30">
        <v>42</v>
      </c>
      <c r="J30" s="2" t="s">
        <v>138</v>
      </c>
      <c r="M30" s="1">
        <f t="shared" si="0"/>
        <v>3.9999940781854093E-7</v>
      </c>
    </row>
    <row r="31" spans="1:13" x14ac:dyDescent="0.2">
      <c r="A31" t="s">
        <v>39</v>
      </c>
      <c r="B31" t="s">
        <v>9</v>
      </c>
      <c r="C31">
        <v>9.4862000000000002E-3</v>
      </c>
      <c r="D31">
        <v>4.1245499999999997E-2</v>
      </c>
      <c r="E31">
        <v>5.0731699999999998E-2</v>
      </c>
      <c r="F31">
        <v>9146.3780989999996</v>
      </c>
      <c r="G31" s="1">
        <v>2.2400000000000001E-15</v>
      </c>
      <c r="H31">
        <v>31</v>
      </c>
      <c r="J31" s="3" t="s">
        <v>139</v>
      </c>
      <c r="M31" s="1">
        <f t="shared" si="0"/>
        <v>6.5999993239529431E-6</v>
      </c>
    </row>
    <row r="32" spans="1:13" x14ac:dyDescent="0.2">
      <c r="A32" t="s">
        <v>40</v>
      </c>
      <c r="B32" t="s">
        <v>9</v>
      </c>
      <c r="C32">
        <v>6.25058E-2</v>
      </c>
      <c r="D32">
        <v>0.93311549999999999</v>
      </c>
      <c r="E32">
        <v>0.99562130000000004</v>
      </c>
      <c r="F32">
        <v>-68464.293290000001</v>
      </c>
      <c r="G32" s="1">
        <v>5.8700000000000003E-15</v>
      </c>
      <c r="H32">
        <v>56</v>
      </c>
      <c r="J32" s="2" t="s">
        <v>140</v>
      </c>
      <c r="M32" s="1">
        <f t="shared" si="0"/>
        <v>4.0000013541430235E-6</v>
      </c>
    </row>
    <row r="33" spans="1:13" x14ac:dyDescent="0.2">
      <c r="A33" t="s">
        <v>41</v>
      </c>
      <c r="B33" t="s">
        <v>9</v>
      </c>
      <c r="C33">
        <v>0.13117300000000001</v>
      </c>
      <c r="D33">
        <v>0.62798560000000003</v>
      </c>
      <c r="E33">
        <v>0.75915860000000002</v>
      </c>
      <c r="F33">
        <v>68464.293959999995</v>
      </c>
      <c r="G33" s="1">
        <v>1.2900000000000001E-13</v>
      </c>
      <c r="H33">
        <v>59</v>
      </c>
      <c r="J33" s="3" t="s">
        <v>141</v>
      </c>
      <c r="M33" s="1">
        <f t="shared" si="0"/>
        <v>7.2799999907147139E-4</v>
      </c>
    </row>
    <row r="34" spans="1:13" x14ac:dyDescent="0.2">
      <c r="A34" t="s">
        <v>42</v>
      </c>
      <c r="B34" t="s">
        <v>9</v>
      </c>
      <c r="C34">
        <v>2.6851000000000002E-3</v>
      </c>
      <c r="D34">
        <v>2.9335300000000002E-2</v>
      </c>
      <c r="E34">
        <v>3.2020399999999997E-2</v>
      </c>
      <c r="F34">
        <v>-664.21889250000004</v>
      </c>
      <c r="G34" s="1">
        <v>1.19E-13</v>
      </c>
      <c r="H34">
        <v>47</v>
      </c>
      <c r="J34" s="2" t="s">
        <v>142</v>
      </c>
      <c r="M34" s="1">
        <f t="shared" si="0"/>
        <v>-1.5297000004466099E-4</v>
      </c>
    </row>
    <row r="35" spans="1:13" x14ac:dyDescent="0.2">
      <c r="A35" t="s">
        <v>43</v>
      </c>
      <c r="B35" t="s">
        <v>9</v>
      </c>
      <c r="C35">
        <v>5.4133999999999996E-3</v>
      </c>
      <c r="D35">
        <v>0.1006045</v>
      </c>
      <c r="E35">
        <v>0.1060179</v>
      </c>
      <c r="F35">
        <v>-109585.73609999999</v>
      </c>
      <c r="G35" s="1">
        <v>6.6799999999999997E-15</v>
      </c>
      <c r="H35">
        <v>46</v>
      </c>
      <c r="J35" s="3" t="s">
        <v>143</v>
      </c>
      <c r="M35" s="1">
        <f t="shared" si="0"/>
        <v>0.62746000000333879</v>
      </c>
    </row>
    <row r="36" spans="1:13" x14ac:dyDescent="0.2">
      <c r="A36" t="s">
        <v>44</v>
      </c>
      <c r="B36" t="s">
        <v>9</v>
      </c>
      <c r="C36">
        <v>2.4842000000000002E-3</v>
      </c>
      <c r="D36">
        <v>3.84537E-2</v>
      </c>
      <c r="E36">
        <v>4.0937899999999999E-2</v>
      </c>
      <c r="F36">
        <v>6902236.0369999995</v>
      </c>
      <c r="G36" s="1">
        <v>7.4199999999999999E-15</v>
      </c>
      <c r="H36">
        <v>41</v>
      </c>
      <c r="J36" s="2" t="s">
        <v>144</v>
      </c>
      <c r="M36" s="1">
        <f t="shared" si="0"/>
        <v>3.749999962747097E-2</v>
      </c>
    </row>
    <row r="37" spans="1:13" x14ac:dyDescent="0.2">
      <c r="A37" t="s">
        <v>45</v>
      </c>
      <c r="B37" t="s">
        <v>9</v>
      </c>
      <c r="C37">
        <v>2.83769E-2</v>
      </c>
      <c r="D37">
        <v>1.6992427999999999</v>
      </c>
      <c r="E37">
        <v>1.7276197</v>
      </c>
      <c r="F37">
        <v>-72462454.030000001</v>
      </c>
      <c r="G37" s="1">
        <v>3.7499999999999998E-16</v>
      </c>
      <c r="H37">
        <v>78</v>
      </c>
      <c r="J37" s="3" t="s">
        <v>145</v>
      </c>
      <c r="M37" s="1">
        <f t="shared" si="0"/>
        <v>-48.121999993920326</v>
      </c>
    </row>
    <row r="38" spans="1:13" x14ac:dyDescent="0.2">
      <c r="A38" t="s">
        <v>46</v>
      </c>
      <c r="B38" t="s">
        <v>9</v>
      </c>
      <c r="C38">
        <v>2.55915E-2</v>
      </c>
      <c r="D38">
        <v>1.6340166</v>
      </c>
      <c r="E38">
        <v>1.6596081</v>
      </c>
      <c r="F38">
        <v>-4302256.1859999998</v>
      </c>
      <c r="G38" s="1">
        <v>6.9899999999999995E-13</v>
      </c>
      <c r="H38">
        <v>79</v>
      </c>
      <c r="J38" s="2" t="s">
        <v>146</v>
      </c>
      <c r="M38" s="1">
        <f t="shared" si="0"/>
        <v>-108.57949999999255</v>
      </c>
    </row>
    <row r="39" spans="1:13" x14ac:dyDescent="0.2">
      <c r="A39" t="s">
        <v>47</v>
      </c>
      <c r="B39" t="s">
        <v>30</v>
      </c>
      <c r="C39">
        <v>2.5875999999999998E-3</v>
      </c>
      <c r="D39">
        <v>0.34508689999999997</v>
      </c>
      <c r="E39">
        <v>0.3476745</v>
      </c>
      <c r="F39">
        <v>-28262719.739999998</v>
      </c>
      <c r="G39" s="1">
        <v>6.6E+19</v>
      </c>
      <c r="H39">
        <v>200</v>
      </c>
      <c r="J39" s="3" t="s">
        <v>147</v>
      </c>
      <c r="M39" s="1">
        <f t="shared" si="0"/>
        <v>78608221.550000012</v>
      </c>
    </row>
    <row r="40" spans="1:13" x14ac:dyDescent="0.2">
      <c r="A40" t="s">
        <v>48</v>
      </c>
      <c r="B40" t="s">
        <v>30</v>
      </c>
      <c r="C40">
        <v>4.6097000000000004E-3</v>
      </c>
      <c r="D40">
        <v>0.67607870000000003</v>
      </c>
      <c r="E40">
        <v>0.68068839999999997</v>
      </c>
      <c r="F40">
        <v>-284133171.19999999</v>
      </c>
      <c r="G40" s="1">
        <v>1.56E+21</v>
      </c>
      <c r="H40">
        <v>200</v>
      </c>
      <c r="J40" s="2" t="s">
        <v>148</v>
      </c>
      <c r="M40" s="1">
        <f t="shared" si="0"/>
        <v>-123298834.72</v>
      </c>
    </row>
    <row r="41" spans="1:13" x14ac:dyDescent="0.2">
      <c r="A41" t="s">
        <v>49</v>
      </c>
      <c r="B41" t="s">
        <v>30</v>
      </c>
      <c r="C41">
        <v>1.4367E-3</v>
      </c>
      <c r="D41">
        <v>0.2414723</v>
      </c>
      <c r="E41">
        <v>0.24290900000000001</v>
      </c>
      <c r="F41">
        <v>-122345523.3</v>
      </c>
      <c r="G41" s="1">
        <v>1.2E+19</v>
      </c>
      <c r="H41">
        <v>200</v>
      </c>
      <c r="J41" s="3" t="s">
        <v>149</v>
      </c>
      <c r="M41" s="1">
        <f t="shared" si="0"/>
        <v>-74557711.484999999</v>
      </c>
    </row>
    <row r="42" spans="1:13" x14ac:dyDescent="0.2">
      <c r="A42" t="s">
        <v>50</v>
      </c>
      <c r="B42" t="s">
        <v>9</v>
      </c>
      <c r="C42">
        <v>1.6444000000000001E-3</v>
      </c>
      <c r="D42">
        <v>2.8349099999999999E-2</v>
      </c>
      <c r="E42">
        <v>2.9993499999999999E-2</v>
      </c>
      <c r="F42">
        <v>-896644.80169999995</v>
      </c>
      <c r="G42" s="1">
        <v>3.0300000000000002E-13</v>
      </c>
      <c r="H42">
        <v>50</v>
      </c>
      <c r="J42" s="2" t="s">
        <v>150</v>
      </c>
      <c r="M42" s="1">
        <f t="shared" si="0"/>
        <v>2.0160000072792172E-2</v>
      </c>
    </row>
    <row r="43" spans="1:13" x14ac:dyDescent="0.2">
      <c r="A43" t="s">
        <v>51</v>
      </c>
      <c r="B43" t="s">
        <v>9</v>
      </c>
      <c r="C43">
        <v>2.0719999999999999E-4</v>
      </c>
      <c r="D43">
        <v>5.6167999999999999E-3</v>
      </c>
      <c r="E43">
        <v>5.8240000000000002E-3</v>
      </c>
      <c r="F43">
        <v>-1749.90013</v>
      </c>
      <c r="G43" s="1">
        <v>1.3500000000000001E-17</v>
      </c>
      <c r="H43">
        <v>52</v>
      </c>
      <c r="J43" s="3" t="s">
        <v>151</v>
      </c>
      <c r="M43" s="1">
        <f t="shared" si="0"/>
        <v>-1.0000007932831068E-7</v>
      </c>
    </row>
    <row r="44" spans="1:13" x14ac:dyDescent="0.2">
      <c r="A44" t="s">
        <v>52</v>
      </c>
      <c r="B44" t="s">
        <v>9</v>
      </c>
      <c r="C44">
        <v>1.1368999999999999E-3</v>
      </c>
      <c r="D44">
        <v>8.1201999999999993E-3</v>
      </c>
      <c r="E44">
        <v>9.2571000000000007E-3</v>
      </c>
      <c r="F44">
        <v>-25.264705490000001</v>
      </c>
      <c r="G44" s="1">
        <v>2.1600000000000001E-14</v>
      </c>
      <c r="H44">
        <v>27</v>
      </c>
      <c r="J44" s="2" t="s">
        <v>152</v>
      </c>
      <c r="M44" s="1">
        <f t="shared" si="0"/>
        <v>5.7199999758950071E-7</v>
      </c>
    </row>
    <row r="45" spans="1:13" x14ac:dyDescent="0.2">
      <c r="A45" t="s">
        <v>53</v>
      </c>
      <c r="B45" t="s">
        <v>9</v>
      </c>
      <c r="C45">
        <v>7.5969999999999996E-3</v>
      </c>
      <c r="D45">
        <v>0.2727772</v>
      </c>
      <c r="E45">
        <v>0.28037420000000002</v>
      </c>
      <c r="F45">
        <v>-58063.743569999999</v>
      </c>
      <c r="G45" s="1">
        <v>5.9200000000000003E-14</v>
      </c>
      <c r="H45">
        <v>50</v>
      </c>
      <c r="J45" s="3" t="s">
        <v>153</v>
      </c>
      <c r="M45" s="1">
        <f t="shared" si="0"/>
        <v>1.3100000069243833E-4</v>
      </c>
    </row>
    <row r="46" spans="1:13" x14ac:dyDescent="0.2">
      <c r="A46" t="s">
        <v>54</v>
      </c>
      <c r="B46" t="s">
        <v>9</v>
      </c>
      <c r="C46">
        <v>0.17827489999999999</v>
      </c>
      <c r="D46">
        <v>18.874825999999999</v>
      </c>
      <c r="E46">
        <v>19.0531009</v>
      </c>
      <c r="F46">
        <v>1497185.169</v>
      </c>
      <c r="G46" s="1">
        <v>6.6300000000000003E-16</v>
      </c>
      <c r="H46">
        <v>55</v>
      </c>
      <c r="J46" s="2" t="s">
        <v>154</v>
      </c>
      <c r="M46" s="1">
        <f t="shared" si="0"/>
        <v>2.4999999441206455E-3</v>
      </c>
    </row>
    <row r="47" spans="1:13" x14ac:dyDescent="0.2">
      <c r="A47" t="s">
        <v>55</v>
      </c>
      <c r="B47" t="s">
        <v>9</v>
      </c>
      <c r="C47">
        <v>3.0165999999999999E-3</v>
      </c>
      <c r="D47">
        <v>2.8778999999999999E-2</v>
      </c>
      <c r="E47">
        <v>3.17956E-2</v>
      </c>
      <c r="F47">
        <v>320.62408529999999</v>
      </c>
      <c r="G47" s="1">
        <v>4.9200000000000002E-13</v>
      </c>
      <c r="H47">
        <v>41</v>
      </c>
      <c r="J47" s="3" t="s">
        <v>155</v>
      </c>
      <c r="M47" s="1">
        <f t="shared" si="0"/>
        <v>4.3562399999927948E-3</v>
      </c>
    </row>
    <row r="48" spans="1:13" x14ac:dyDescent="0.2">
      <c r="A48" t="s">
        <v>56</v>
      </c>
      <c r="B48" t="s">
        <v>9</v>
      </c>
      <c r="C48">
        <v>7.0948000000000001E-3</v>
      </c>
      <c r="D48">
        <v>0.23759620000000001</v>
      </c>
      <c r="E48">
        <v>0.24469099999999999</v>
      </c>
      <c r="F48">
        <v>14076036.5</v>
      </c>
      <c r="G48" s="1">
        <v>3.4E-14</v>
      </c>
      <c r="H48">
        <v>78</v>
      </c>
      <c r="J48" s="2" t="s">
        <v>156</v>
      </c>
      <c r="M48" s="1">
        <f>F48-J48</f>
        <v>-36.535000000149012</v>
      </c>
    </row>
    <row r="49" spans="1:13" x14ac:dyDescent="0.2">
      <c r="A49" t="s">
        <v>57</v>
      </c>
      <c r="B49" t="s">
        <v>9</v>
      </c>
      <c r="C49">
        <v>4.3445000000000003E-3</v>
      </c>
      <c r="D49">
        <v>0.27407920000000002</v>
      </c>
      <c r="E49">
        <v>0.2784237</v>
      </c>
      <c r="F49">
        <v>-9380.7552599999999</v>
      </c>
      <c r="G49" s="1">
        <v>3.5199999999999998E-14</v>
      </c>
      <c r="H49">
        <v>82</v>
      </c>
      <c r="J49" s="3" t="s">
        <v>157</v>
      </c>
      <c r="M49" s="1">
        <f t="shared" si="0"/>
        <v>2.8173000009701354E-3</v>
      </c>
    </row>
    <row r="50" spans="1:13" x14ac:dyDescent="0.2">
      <c r="A50" t="s">
        <v>58</v>
      </c>
      <c r="B50" t="s">
        <v>9</v>
      </c>
      <c r="C50">
        <v>2.60196E-2</v>
      </c>
      <c r="D50">
        <v>3.3000398999999998</v>
      </c>
      <c r="E50">
        <v>3.3260594999999999</v>
      </c>
      <c r="F50">
        <v>-557.48906190000002</v>
      </c>
      <c r="G50" s="1">
        <v>6.8000000000000003E-13</v>
      </c>
      <c r="H50">
        <v>102</v>
      </c>
      <c r="J50" s="2" t="s">
        <v>158</v>
      </c>
      <c r="M50" s="1">
        <f t="shared" si="0"/>
        <v>-8.4761830000047667E-2</v>
      </c>
    </row>
    <row r="51" spans="1:13" x14ac:dyDescent="0.2">
      <c r="A51" t="s">
        <v>59</v>
      </c>
      <c r="B51" t="s">
        <v>9</v>
      </c>
      <c r="C51">
        <v>2.7905999999999999E-3</v>
      </c>
      <c r="D51">
        <v>5.9590400000000002E-2</v>
      </c>
      <c r="E51">
        <v>6.2380999999999999E-2</v>
      </c>
      <c r="F51">
        <v>-2581.139259</v>
      </c>
      <c r="G51" s="1">
        <v>8.5499999999999999E-13</v>
      </c>
      <c r="H51">
        <v>53</v>
      </c>
      <c r="J51" s="3" t="s">
        <v>159</v>
      </c>
      <c r="M51" s="1">
        <f t="shared" si="0"/>
        <v>3531.9951520999998</v>
      </c>
    </row>
    <row r="52" spans="1:13" x14ac:dyDescent="0.2">
      <c r="A52" t="s">
        <v>60</v>
      </c>
      <c r="B52" t="s">
        <v>9</v>
      </c>
      <c r="C52">
        <v>3.82032E-2</v>
      </c>
      <c r="D52">
        <v>14.737959999999999</v>
      </c>
      <c r="E52">
        <v>14.776163199999999</v>
      </c>
      <c r="F52">
        <v>301.72921559999997</v>
      </c>
      <c r="G52" s="1">
        <v>6.1000000000000003E-13</v>
      </c>
      <c r="H52">
        <v>116</v>
      </c>
      <c r="J52" s="2" t="s">
        <v>160</v>
      </c>
      <c r="M52" s="1">
        <f t="shared" si="0"/>
        <v>2720404.4731156002</v>
      </c>
    </row>
    <row r="53" spans="1:13" x14ac:dyDescent="0.2">
      <c r="A53" t="s">
        <v>61</v>
      </c>
      <c r="B53" t="s">
        <v>9</v>
      </c>
      <c r="C53">
        <v>7.5192000000000002E-3</v>
      </c>
      <c r="D53">
        <v>0.46214270000000002</v>
      </c>
      <c r="E53">
        <v>0.46966190000000002</v>
      </c>
      <c r="F53">
        <v>-6113.1369610000002</v>
      </c>
      <c r="G53" s="1">
        <v>1.4600000000000001E-13</v>
      </c>
      <c r="H53">
        <v>74</v>
      </c>
      <c r="J53" s="3" t="s">
        <v>161</v>
      </c>
      <c r="M53" s="1">
        <f t="shared" si="0"/>
        <v>-3531.9976968999999</v>
      </c>
    </row>
    <row r="54" spans="1:13" x14ac:dyDescent="0.2">
      <c r="A54" t="s">
        <v>62</v>
      </c>
      <c r="B54" t="s">
        <v>9</v>
      </c>
      <c r="C54">
        <v>7.2508E-3</v>
      </c>
      <c r="D54">
        <v>0.1864285</v>
      </c>
      <c r="E54">
        <v>0.1936793</v>
      </c>
      <c r="F54">
        <v>-2720100.196</v>
      </c>
      <c r="G54" s="1">
        <v>1.9400000000000001E-14</v>
      </c>
      <c r="H54">
        <v>80</v>
      </c>
      <c r="J54" s="2" t="s">
        <v>162</v>
      </c>
      <c r="M54" s="1">
        <f t="shared" si="0"/>
        <v>-2720401.90672827</v>
      </c>
    </row>
    <row r="55" spans="1:13" x14ac:dyDescent="0.2">
      <c r="A55" t="s">
        <v>63</v>
      </c>
      <c r="B55" t="s">
        <v>9</v>
      </c>
      <c r="C55">
        <v>8.7167000000000008E-3</v>
      </c>
      <c r="D55">
        <v>0.7007911</v>
      </c>
      <c r="E55">
        <v>0.70950780000000002</v>
      </c>
      <c r="F55">
        <v>-4497.2761879999998</v>
      </c>
      <c r="G55" s="1">
        <v>2.3100000000000001E-14</v>
      </c>
      <c r="H55">
        <v>86</v>
      </c>
      <c r="J55" s="3" t="s">
        <v>163</v>
      </c>
      <c r="M55" s="1">
        <f t="shared" si="0"/>
        <v>2.0000061340397224E-7</v>
      </c>
    </row>
    <row r="56" spans="1:13" x14ac:dyDescent="0.2">
      <c r="A56" t="s">
        <v>64</v>
      </c>
      <c r="B56" t="s">
        <v>30</v>
      </c>
      <c r="C56">
        <v>5.8779900000000003E-2</v>
      </c>
      <c r="D56">
        <v>264.74534690000002</v>
      </c>
      <c r="E56">
        <v>264.80412680000001</v>
      </c>
      <c r="F56" t="s">
        <v>65</v>
      </c>
      <c r="G56" t="s">
        <v>65</v>
      </c>
      <c r="H56">
        <v>200</v>
      </c>
      <c r="J56" s="2" t="s">
        <v>164</v>
      </c>
      <c r="M56" s="1" t="e">
        <f t="shared" si="0"/>
        <v>#VALUE!</v>
      </c>
    </row>
    <row r="57" spans="1:13" x14ac:dyDescent="0.2">
      <c r="A57" t="s">
        <v>66</v>
      </c>
      <c r="B57" t="s">
        <v>30</v>
      </c>
      <c r="C57">
        <v>0.1813418</v>
      </c>
      <c r="D57">
        <v>2795.3541479999999</v>
      </c>
      <c r="E57">
        <v>2795.5354900000002</v>
      </c>
      <c r="F57" t="s">
        <v>65</v>
      </c>
      <c r="G57" t="s">
        <v>65</v>
      </c>
      <c r="H57">
        <v>200</v>
      </c>
      <c r="J57" s="3" t="s">
        <v>165</v>
      </c>
      <c r="M57" s="1" t="e">
        <f t="shared" si="0"/>
        <v>#VALUE!</v>
      </c>
    </row>
    <row r="58" spans="1:13" x14ac:dyDescent="0.2">
      <c r="A58" t="s">
        <v>67</v>
      </c>
      <c r="B58" t="s">
        <v>30</v>
      </c>
      <c r="C58">
        <v>8.3710999999999994E-3</v>
      </c>
      <c r="D58">
        <v>10.603329</v>
      </c>
      <c r="E58">
        <v>10.6117001</v>
      </c>
      <c r="F58" t="s">
        <v>65</v>
      </c>
      <c r="G58" t="s">
        <v>65</v>
      </c>
      <c r="H58">
        <v>200</v>
      </c>
      <c r="J58" s="2" t="s">
        <v>166</v>
      </c>
      <c r="M58" s="1" t="e">
        <f t="shared" si="0"/>
        <v>#VALUE!</v>
      </c>
    </row>
    <row r="59" spans="1:13" x14ac:dyDescent="0.2">
      <c r="A59" t="s">
        <v>68</v>
      </c>
      <c r="B59" t="s">
        <v>9</v>
      </c>
      <c r="C59">
        <v>7.7629999999999995E-4</v>
      </c>
      <c r="D59">
        <v>5.3093000000000003E-3</v>
      </c>
      <c r="E59">
        <v>6.0856E-3</v>
      </c>
      <c r="F59">
        <v>-266.61599999999999</v>
      </c>
      <c r="G59" s="1">
        <v>6.9400000000000001E-22</v>
      </c>
      <c r="H59">
        <v>21</v>
      </c>
      <c r="J59" s="3" t="s">
        <v>167</v>
      </c>
      <c r="M59" s="1">
        <f t="shared" si="0"/>
        <v>0</v>
      </c>
    </row>
    <row r="60" spans="1:13" x14ac:dyDescent="0.2">
      <c r="A60" t="s">
        <v>69</v>
      </c>
      <c r="B60" t="s">
        <v>9</v>
      </c>
      <c r="C60">
        <v>1.0300000000000001E-3</v>
      </c>
      <c r="D60">
        <v>3.4356E-3</v>
      </c>
      <c r="E60">
        <v>4.4656000000000001E-3</v>
      </c>
      <c r="F60">
        <v>-52.202061209999997</v>
      </c>
      <c r="G60" s="1">
        <v>1.0299999999999999E-23</v>
      </c>
      <c r="H60">
        <v>17</v>
      </c>
      <c r="J60" s="2" t="s">
        <v>168</v>
      </c>
      <c r="M60" s="1">
        <f t="shared" si="0"/>
        <v>2.000000165480742E-9</v>
      </c>
    </row>
    <row r="61" spans="1:13" x14ac:dyDescent="0.2">
      <c r="A61" t="s">
        <v>70</v>
      </c>
      <c r="B61" t="s">
        <v>9</v>
      </c>
      <c r="C61">
        <v>6.5410000000000002E-4</v>
      </c>
      <c r="D61">
        <v>6.2551000000000004E-3</v>
      </c>
      <c r="E61">
        <v>6.9091999999999999E-3</v>
      </c>
      <c r="F61">
        <v>-52.202061200000003</v>
      </c>
      <c r="G61" s="1">
        <v>2.4299999999999998E-19</v>
      </c>
      <c r="H61">
        <v>26</v>
      </c>
      <c r="J61" s="3" t="s">
        <v>168</v>
      </c>
      <c r="M61" s="1">
        <f t="shared" si="0"/>
        <v>1.1999993887457094E-8</v>
      </c>
    </row>
    <row r="62" spans="1:13" x14ac:dyDescent="0.2">
      <c r="A62" t="s">
        <v>71</v>
      </c>
      <c r="B62" t="s">
        <v>9</v>
      </c>
      <c r="C62">
        <v>5.4259999999999996E-4</v>
      </c>
      <c r="D62">
        <v>1.9645000000000001E-3</v>
      </c>
      <c r="E62">
        <v>2.5071E-3</v>
      </c>
      <c r="F62">
        <v>-64.575075040000002</v>
      </c>
      <c r="G62" s="1">
        <v>9.9100000000000005E-15</v>
      </c>
      <c r="H62">
        <v>14</v>
      </c>
      <c r="J62" s="2" t="s">
        <v>169</v>
      </c>
      <c r="M62" s="1">
        <f t="shared" si="0"/>
        <v>2.0189999929698388E-6</v>
      </c>
    </row>
    <row r="63" spans="1:13" x14ac:dyDescent="0.2">
      <c r="A63" t="s">
        <v>72</v>
      </c>
      <c r="B63" t="s">
        <v>9</v>
      </c>
      <c r="C63">
        <v>2.2910000000000001E-4</v>
      </c>
      <c r="D63">
        <v>1.4701E-3</v>
      </c>
      <c r="E63">
        <v>1.6992000000000001E-3</v>
      </c>
      <c r="F63">
        <v>-70</v>
      </c>
      <c r="G63" s="1">
        <v>1.0299999999999999E-27</v>
      </c>
      <c r="H63">
        <v>13</v>
      </c>
      <c r="J63" s="3" t="s">
        <v>170</v>
      </c>
      <c r="M63" s="1">
        <f t="shared" si="0"/>
        <v>0</v>
      </c>
    </row>
    <row r="64" spans="1:13" x14ac:dyDescent="0.2">
      <c r="A64" t="s">
        <v>73</v>
      </c>
      <c r="B64" t="s">
        <v>9</v>
      </c>
      <c r="C64">
        <v>1.9289000000000001E-3</v>
      </c>
      <c r="D64">
        <v>1.3568999999999999E-2</v>
      </c>
      <c r="E64">
        <v>1.54979E-2</v>
      </c>
      <c r="F64">
        <v>-14753433.060000001</v>
      </c>
      <c r="G64" s="1">
        <v>3.1400000000000001E-15</v>
      </c>
      <c r="H64">
        <v>34</v>
      </c>
      <c r="J64" s="2" t="s">
        <v>171</v>
      </c>
      <c r="M64" s="1">
        <f t="shared" si="0"/>
        <v>1.0000001639127731E-3</v>
      </c>
    </row>
    <row r="65" spans="1:13" x14ac:dyDescent="0.2">
      <c r="A65" t="s">
        <v>74</v>
      </c>
      <c r="B65" t="s">
        <v>9</v>
      </c>
      <c r="C65">
        <v>6.2419999999999999E-4</v>
      </c>
      <c r="D65">
        <v>7.0194000000000003E-3</v>
      </c>
      <c r="E65">
        <v>7.6436000000000004E-3</v>
      </c>
      <c r="F65">
        <v>-2331389.824</v>
      </c>
      <c r="G65" s="1">
        <v>2.6500000000000001E-14</v>
      </c>
      <c r="H65">
        <v>33</v>
      </c>
      <c r="J65" s="3" t="s">
        <v>172</v>
      </c>
      <c r="M65" s="1">
        <f t="shared" si="0"/>
        <v>-0.56919999979436398</v>
      </c>
    </row>
    <row r="66" spans="1:13" x14ac:dyDescent="0.2">
      <c r="A66" t="s">
        <v>75</v>
      </c>
      <c r="B66" t="s">
        <v>9</v>
      </c>
      <c r="C66">
        <v>2.2084000000000001E-3</v>
      </c>
      <c r="D66">
        <v>3.0550399999999998E-2</v>
      </c>
      <c r="E66">
        <v>3.2758799999999998E-2</v>
      </c>
      <c r="F66">
        <v>18416.759030000001</v>
      </c>
      <c r="G66" s="1">
        <v>4.19E-17</v>
      </c>
      <c r="H66">
        <v>40</v>
      </c>
      <c r="J66" s="2" t="s">
        <v>173</v>
      </c>
      <c r="M66" s="1">
        <f t="shared" si="0"/>
        <v>2.0000006770715117E-6</v>
      </c>
    </row>
    <row r="67" spans="1:13" x14ac:dyDescent="0.2">
      <c r="A67" t="s">
        <v>76</v>
      </c>
      <c r="B67" t="s">
        <v>9</v>
      </c>
      <c r="C67">
        <v>4.1679000000000004E-3</v>
      </c>
      <c r="D67">
        <v>9.7376900000000002E-2</v>
      </c>
      <c r="E67">
        <v>0.1015448</v>
      </c>
      <c r="F67">
        <v>36660.261570000002</v>
      </c>
      <c r="G67" s="1">
        <v>8.3799999999999994E-14</v>
      </c>
      <c r="H67">
        <v>52</v>
      </c>
      <c r="J67" s="3" t="s">
        <v>174</v>
      </c>
      <c r="M67" s="1">
        <f t="shared" ref="M67:M99" si="1">F67-J67</f>
        <v>5.0000016926787794E-6</v>
      </c>
    </row>
    <row r="68" spans="1:13" x14ac:dyDescent="0.2">
      <c r="A68" t="s">
        <v>77</v>
      </c>
      <c r="B68" t="s">
        <v>9</v>
      </c>
      <c r="C68">
        <v>5.7660999999999997E-3</v>
      </c>
      <c r="D68">
        <v>0.1136871</v>
      </c>
      <c r="E68">
        <v>0.1194532</v>
      </c>
      <c r="F68">
        <v>54901.254610000004</v>
      </c>
      <c r="G68" s="1">
        <v>1.8200000000000001E-13</v>
      </c>
      <c r="H68">
        <v>49</v>
      </c>
      <c r="J68" s="2" t="s">
        <v>175</v>
      </c>
      <c r="M68" s="1">
        <f t="shared" si="1"/>
        <v>6.0000005760230124E-5</v>
      </c>
    </row>
    <row r="69" spans="1:13" x14ac:dyDescent="0.2">
      <c r="A69" t="s">
        <v>78</v>
      </c>
      <c r="B69" t="s">
        <v>9</v>
      </c>
      <c r="C69">
        <v>1.5365999999999999E-3</v>
      </c>
      <c r="D69">
        <v>1.0611000000000001E-2</v>
      </c>
      <c r="E69">
        <v>1.21476E-2</v>
      </c>
      <c r="F69">
        <v>1878.1248230000001</v>
      </c>
      <c r="G69" s="1">
        <v>2.22E-23</v>
      </c>
      <c r="H69">
        <v>25</v>
      </c>
      <c r="J69" s="3" t="s">
        <v>176</v>
      </c>
      <c r="M69" s="1">
        <f t="shared" si="1"/>
        <v>3.0000001061125658E-7</v>
      </c>
    </row>
    <row r="70" spans="1:13" x14ac:dyDescent="0.2">
      <c r="A70" t="s">
        <v>79</v>
      </c>
      <c r="B70" t="s">
        <v>9</v>
      </c>
      <c r="C70">
        <v>3.4938E-3</v>
      </c>
      <c r="D70">
        <v>5.9303500000000002E-2</v>
      </c>
      <c r="E70">
        <v>6.27973E-2</v>
      </c>
      <c r="F70">
        <v>904.29696360000003</v>
      </c>
      <c r="G70" s="1">
        <v>3.8099999999999999E-13</v>
      </c>
      <c r="H70">
        <v>56</v>
      </c>
      <c r="J70" s="2" t="s">
        <v>177</v>
      </c>
      <c r="M70" s="1">
        <f t="shared" si="1"/>
        <v>-3.0225900000004913E-3</v>
      </c>
    </row>
    <row r="71" spans="1:13" x14ac:dyDescent="0.2">
      <c r="A71" t="s">
        <v>80</v>
      </c>
      <c r="B71" t="s">
        <v>9</v>
      </c>
      <c r="C71">
        <v>1.9784E-3</v>
      </c>
      <c r="D71">
        <v>1.24834E-2</v>
      </c>
      <c r="E71">
        <v>1.44618E-2</v>
      </c>
      <c r="F71">
        <v>8.6666667079999993</v>
      </c>
      <c r="G71" s="1">
        <v>2.5800000000000001E-17</v>
      </c>
      <c r="H71">
        <v>20</v>
      </c>
      <c r="J71" s="3" t="s">
        <v>178</v>
      </c>
      <c r="M71" s="1">
        <f t="shared" si="1"/>
        <v>3.3699999235636824E-8</v>
      </c>
    </row>
    <row r="72" spans="1:13" x14ac:dyDescent="0.2">
      <c r="A72" t="s">
        <v>81</v>
      </c>
      <c r="B72" t="s">
        <v>9</v>
      </c>
      <c r="C72">
        <v>4.1227E-3</v>
      </c>
      <c r="D72">
        <v>2.46847E-2</v>
      </c>
      <c r="E72">
        <v>2.88074E-2</v>
      </c>
      <c r="F72">
        <v>50.50000008</v>
      </c>
      <c r="G72" s="1">
        <v>1.7299999999999999E-17</v>
      </c>
      <c r="H72">
        <v>25</v>
      </c>
      <c r="J72" s="2" t="s">
        <v>179</v>
      </c>
      <c r="M72" s="1">
        <f t="shared" si="1"/>
        <v>2.000000165480742E-9</v>
      </c>
    </row>
    <row r="73" spans="1:13" x14ac:dyDescent="0.2">
      <c r="A73" t="s">
        <v>82</v>
      </c>
      <c r="B73" t="s">
        <v>9</v>
      </c>
      <c r="C73">
        <v>8.9990000000000001E-3</v>
      </c>
      <c r="D73">
        <v>3.3604500000000002E-2</v>
      </c>
      <c r="E73">
        <v>4.2603500000000002E-2</v>
      </c>
      <c r="F73">
        <v>905.00000039999998</v>
      </c>
      <c r="G73" s="1">
        <v>4.2700000000000002E-17</v>
      </c>
      <c r="H73">
        <v>20</v>
      </c>
      <c r="J73" s="3" t="s">
        <v>180</v>
      </c>
      <c r="M73" s="1">
        <f t="shared" si="1"/>
        <v>4.7000003178254701E-7</v>
      </c>
    </row>
    <row r="74" spans="1:13" x14ac:dyDescent="0.2">
      <c r="A74" t="s">
        <v>83</v>
      </c>
      <c r="B74" t="s">
        <v>9</v>
      </c>
      <c r="C74">
        <v>1.8851E-3</v>
      </c>
      <c r="D74">
        <v>1.9579900000000001E-2</v>
      </c>
      <c r="E74">
        <v>2.1465000000000001E-2</v>
      </c>
      <c r="F74">
        <v>1412.2500010000001</v>
      </c>
      <c r="G74" s="1">
        <v>9.7100000000000003E-17</v>
      </c>
      <c r="H74">
        <v>33</v>
      </c>
      <c r="J74" s="2" t="s">
        <v>181</v>
      </c>
      <c r="M74" s="1">
        <f t="shared" si="1"/>
        <v>1.0000001111620804E-6</v>
      </c>
    </row>
    <row r="75" spans="1:13" x14ac:dyDescent="0.2">
      <c r="A75" t="s">
        <v>84</v>
      </c>
      <c r="B75" t="s">
        <v>9</v>
      </c>
      <c r="C75">
        <v>8.8725000000000002E-3</v>
      </c>
      <c r="D75">
        <v>7.0567900000000003E-2</v>
      </c>
      <c r="E75">
        <v>7.9440399999999994E-2</v>
      </c>
      <c r="F75">
        <v>1724.807143</v>
      </c>
      <c r="G75" s="1">
        <v>4.7599999999999997E-24</v>
      </c>
      <c r="H75">
        <v>33</v>
      </c>
      <c r="J75" s="3" t="s">
        <v>182</v>
      </c>
      <c r="M75" s="1">
        <f t="shared" si="1"/>
        <v>1.0000007932831068E-7</v>
      </c>
    </row>
    <row r="76" spans="1:13" x14ac:dyDescent="0.2">
      <c r="A76" t="s">
        <v>85</v>
      </c>
      <c r="B76" t="s">
        <v>9</v>
      </c>
      <c r="C76">
        <v>1.17707E-2</v>
      </c>
      <c r="D76">
        <v>7.7076500000000006E-2</v>
      </c>
      <c r="E76">
        <v>8.8847200000000001E-2</v>
      </c>
      <c r="F76">
        <v>1424.0000110000001</v>
      </c>
      <c r="G76" s="1">
        <v>1.6300000000000001E-14</v>
      </c>
      <c r="H76">
        <v>25</v>
      </c>
      <c r="J76" s="2" t="s">
        <v>183</v>
      </c>
      <c r="M76" s="1">
        <f t="shared" si="1"/>
        <v>1.1000000085914508E-5</v>
      </c>
    </row>
    <row r="77" spans="1:13" x14ac:dyDescent="0.2">
      <c r="A77" t="s">
        <v>86</v>
      </c>
      <c r="B77" t="s">
        <v>9</v>
      </c>
      <c r="C77">
        <v>3.7935E-3</v>
      </c>
      <c r="D77">
        <v>3.3035000000000002E-2</v>
      </c>
      <c r="E77">
        <v>3.68285E-2</v>
      </c>
      <c r="F77">
        <v>15711.600060000001</v>
      </c>
      <c r="G77" s="1">
        <v>2.08E-14</v>
      </c>
      <c r="H77">
        <v>31</v>
      </c>
      <c r="J77" s="3" t="s">
        <v>184</v>
      </c>
      <c r="M77" s="1">
        <f t="shared" si="1"/>
        <v>6.0000000303261913E-5</v>
      </c>
    </row>
    <row r="78" spans="1:13" x14ac:dyDescent="0.2">
      <c r="A78" t="s">
        <v>87</v>
      </c>
      <c r="B78" t="s">
        <v>9</v>
      </c>
      <c r="C78">
        <v>9.1969999999999997E-4</v>
      </c>
      <c r="D78">
        <v>1.421E-2</v>
      </c>
      <c r="E78">
        <v>1.5129699999999999E-2</v>
      </c>
      <c r="F78">
        <v>-76589.318580000006</v>
      </c>
      <c r="G78" s="1">
        <v>1.27E-14</v>
      </c>
      <c r="H78">
        <v>47</v>
      </c>
      <c r="J78" s="2" t="s">
        <v>185</v>
      </c>
      <c r="M78" s="1">
        <f t="shared" si="1"/>
        <v>-1.0000076144933701E-6</v>
      </c>
    </row>
    <row r="79" spans="1:13" x14ac:dyDescent="0.2">
      <c r="A79" t="s">
        <v>88</v>
      </c>
      <c r="B79" t="s">
        <v>9</v>
      </c>
      <c r="C79">
        <v>6.1550000000000005E-4</v>
      </c>
      <c r="D79">
        <v>5.3711000000000002E-3</v>
      </c>
      <c r="E79">
        <v>5.9865999999999999E-3</v>
      </c>
      <c r="F79">
        <v>-415.73224069999998</v>
      </c>
      <c r="G79" s="1">
        <v>3.3500000000000002E-17</v>
      </c>
      <c r="H79">
        <v>21</v>
      </c>
      <c r="J79" s="3" t="s">
        <v>186</v>
      </c>
      <c r="M79" s="1">
        <f t="shared" si="1"/>
        <v>4.000003173132427E-8</v>
      </c>
    </row>
    <row r="80" spans="1:13" x14ac:dyDescent="0.2">
      <c r="A80" t="s">
        <v>89</v>
      </c>
      <c r="B80" t="s">
        <v>9</v>
      </c>
      <c r="C80">
        <v>5.2972999999999996E-3</v>
      </c>
      <c r="D80">
        <v>7.7199599999999993E-2</v>
      </c>
      <c r="E80">
        <v>8.2496899999999998E-2</v>
      </c>
      <c r="F80">
        <v>1208825346</v>
      </c>
      <c r="G80" s="1">
        <v>9.6999999999999992E-18</v>
      </c>
      <c r="H80">
        <v>50</v>
      </c>
      <c r="J80" s="2" t="s">
        <v>187</v>
      </c>
      <c r="M80" s="1">
        <f t="shared" si="1"/>
        <v>0</v>
      </c>
    </row>
    <row r="81" spans="1:13" x14ac:dyDescent="0.2">
      <c r="A81" t="s">
        <v>90</v>
      </c>
      <c r="B81" t="s">
        <v>9</v>
      </c>
      <c r="C81">
        <v>8.3056999999999992E-3</v>
      </c>
      <c r="D81">
        <v>6.7400399999999999E-2</v>
      </c>
      <c r="E81">
        <v>7.5706099999999998E-2</v>
      </c>
      <c r="F81">
        <v>1793324.541</v>
      </c>
      <c r="G81" s="1">
        <v>2.1299999999999998E-18</v>
      </c>
      <c r="H81">
        <v>42</v>
      </c>
      <c r="J81" s="3" t="s">
        <v>188</v>
      </c>
      <c r="M81" s="1">
        <f t="shared" si="1"/>
        <v>3.0000000260770321E-3</v>
      </c>
    </row>
    <row r="82" spans="1:13" x14ac:dyDescent="0.2">
      <c r="A82" t="s">
        <v>91</v>
      </c>
      <c r="B82" t="s">
        <v>9</v>
      </c>
      <c r="C82">
        <v>4.1977000000000004E-3</v>
      </c>
      <c r="D82">
        <v>3.6525700000000001E-2</v>
      </c>
      <c r="E82">
        <v>4.07234E-2</v>
      </c>
      <c r="F82">
        <v>1798714.72</v>
      </c>
      <c r="G82" s="1">
        <v>4.0100000000000001E-14</v>
      </c>
      <c r="H82">
        <v>30</v>
      </c>
      <c r="J82" s="2" t="s">
        <v>189</v>
      </c>
      <c r="M82" s="1">
        <f t="shared" si="1"/>
        <v>1.9599999999627471E-2</v>
      </c>
    </row>
    <row r="83" spans="1:13" x14ac:dyDescent="0.2">
      <c r="A83" t="s">
        <v>92</v>
      </c>
      <c r="B83" t="s">
        <v>9</v>
      </c>
      <c r="C83">
        <v>2.1587200000000001E-2</v>
      </c>
      <c r="D83">
        <v>0.15476960000000001</v>
      </c>
      <c r="E83">
        <v>0.17635680000000001</v>
      </c>
      <c r="F83">
        <v>1909055.2120000001</v>
      </c>
      <c r="G83" s="1">
        <v>1.1499999999999999E-19</v>
      </c>
      <c r="H83">
        <v>37</v>
      </c>
      <c r="J83" s="3" t="s">
        <v>190</v>
      </c>
      <c r="M83" s="1">
        <f t="shared" si="1"/>
        <v>6.0000014491379261E-4</v>
      </c>
    </row>
    <row r="84" spans="1:13" x14ac:dyDescent="0.2">
      <c r="A84" t="s">
        <v>93</v>
      </c>
      <c r="B84" t="s">
        <v>9</v>
      </c>
      <c r="C84">
        <v>1.11851E-2</v>
      </c>
      <c r="D84">
        <v>8.9766100000000001E-2</v>
      </c>
      <c r="E84">
        <v>0.1009512</v>
      </c>
      <c r="F84">
        <v>1920098.2239999999</v>
      </c>
      <c r="G84" s="1">
        <v>1.15E-14</v>
      </c>
      <c r="H84">
        <v>43</v>
      </c>
      <c r="J84" s="2" t="s">
        <v>191</v>
      </c>
      <c r="M84" s="1">
        <f t="shared" si="1"/>
        <v>1.3499999884516001E-2</v>
      </c>
    </row>
    <row r="85" spans="1:13" x14ac:dyDescent="0.2">
      <c r="A85" t="s">
        <v>94</v>
      </c>
      <c r="B85" t="s">
        <v>9</v>
      </c>
      <c r="C85">
        <v>2.86818E-2</v>
      </c>
      <c r="D85">
        <v>0.21288779999999999</v>
      </c>
      <c r="E85">
        <v>0.2415696</v>
      </c>
      <c r="F85">
        <v>1470187.9210000001</v>
      </c>
      <c r="G85" s="1">
        <v>1.25E-17</v>
      </c>
      <c r="H85">
        <v>49</v>
      </c>
      <c r="J85" s="3" t="s">
        <v>192</v>
      </c>
      <c r="M85" s="1">
        <f t="shared" si="1"/>
        <v>1.7000001389533281E-3</v>
      </c>
    </row>
    <row r="86" spans="1:13" x14ac:dyDescent="0.2">
      <c r="A86" t="s">
        <v>95</v>
      </c>
      <c r="B86" t="s">
        <v>9</v>
      </c>
      <c r="C86">
        <v>1.0954500000000001E-2</v>
      </c>
      <c r="D86">
        <v>7.6654E-2</v>
      </c>
      <c r="E86">
        <v>8.7608500000000006E-2</v>
      </c>
      <c r="F86">
        <v>1489236.139</v>
      </c>
      <c r="G86" s="1">
        <v>1.8799999999999999E-14</v>
      </c>
      <c r="H86">
        <v>34</v>
      </c>
      <c r="J86" s="2" t="s">
        <v>193</v>
      </c>
      <c r="M86" s="1">
        <f t="shared" si="1"/>
        <v>4.5999998692423105E-3</v>
      </c>
    </row>
    <row r="87" spans="1:13" x14ac:dyDescent="0.2">
      <c r="A87" t="s">
        <v>96</v>
      </c>
      <c r="B87" t="s">
        <v>9</v>
      </c>
      <c r="C87">
        <v>8.3932999999999994E-3</v>
      </c>
      <c r="D87">
        <v>0.13711129999999999</v>
      </c>
      <c r="E87">
        <v>0.14550460000000001</v>
      </c>
      <c r="F87">
        <v>15394363.949999999</v>
      </c>
      <c r="G87" s="1">
        <v>1.2099999999999999E-13</v>
      </c>
      <c r="H87">
        <v>44</v>
      </c>
      <c r="J87" s="3" t="s">
        <v>194</v>
      </c>
      <c r="M87" s="1">
        <f t="shared" si="1"/>
        <v>1.7659999988973141</v>
      </c>
    </row>
    <row r="88" spans="1:13" x14ac:dyDescent="0.2">
      <c r="A88" t="s">
        <v>97</v>
      </c>
      <c r="B88" t="s">
        <v>9</v>
      </c>
      <c r="C88">
        <v>2.7874000000000002E-3</v>
      </c>
      <c r="D88">
        <v>5.7064900000000002E-2</v>
      </c>
      <c r="E88">
        <v>5.9852299999999997E-2</v>
      </c>
      <c r="F88">
        <v>-251.2669507</v>
      </c>
      <c r="G88" s="1">
        <v>1.14E-15</v>
      </c>
      <c r="H88">
        <v>41</v>
      </c>
      <c r="J88" s="2" t="s">
        <v>195</v>
      </c>
      <c r="M88" s="1">
        <f t="shared" si="1"/>
        <v>4.8999999080479029E-7</v>
      </c>
    </row>
    <row r="89" spans="1:13" x14ac:dyDescent="0.2">
      <c r="A89" t="s">
        <v>98</v>
      </c>
      <c r="B89" t="s">
        <v>9</v>
      </c>
      <c r="C89">
        <v>2.9210999999999998E-3</v>
      </c>
      <c r="D89">
        <v>5.5148299999999997E-2</v>
      </c>
      <c r="E89">
        <v>5.80694E-2</v>
      </c>
      <c r="F89">
        <v>1257.699564</v>
      </c>
      <c r="G89" s="1">
        <v>5.2900000000000004E-19</v>
      </c>
      <c r="H89">
        <v>44</v>
      </c>
      <c r="J89" s="3" t="s">
        <v>196</v>
      </c>
      <c r="M89" s="1">
        <f t="shared" si="1"/>
        <v>6.4000000065789209E-5</v>
      </c>
    </row>
    <row r="90" spans="1:13" x14ac:dyDescent="0.2">
      <c r="A90" t="s">
        <v>99</v>
      </c>
      <c r="B90" t="s">
        <v>9</v>
      </c>
      <c r="C90">
        <v>4.1133999999999997E-3</v>
      </c>
      <c r="D90">
        <v>5.3648800000000003E-2</v>
      </c>
      <c r="E90">
        <v>5.77622E-2</v>
      </c>
      <c r="F90">
        <v>1257.699564</v>
      </c>
      <c r="G90" s="1">
        <v>5.2399999999999997E-19</v>
      </c>
      <c r="H90">
        <v>44</v>
      </c>
      <c r="J90" s="2" t="s">
        <v>100</v>
      </c>
      <c r="M90" s="1" t="e">
        <f t="shared" si="1"/>
        <v>#VALUE!</v>
      </c>
    </row>
    <row r="91" spans="1:13" x14ac:dyDescent="0.2">
      <c r="A91" t="s">
        <v>101</v>
      </c>
      <c r="B91" t="s">
        <v>9</v>
      </c>
      <c r="C91">
        <v>4.3761E-3</v>
      </c>
      <c r="D91">
        <v>5.7939200000000003E-2</v>
      </c>
      <c r="E91">
        <v>6.2315299999999997E-2</v>
      </c>
      <c r="F91">
        <v>1406.01756</v>
      </c>
      <c r="G91" s="1">
        <v>7.6199999999999998E-17</v>
      </c>
      <c r="H91">
        <v>54</v>
      </c>
      <c r="J91" s="3" t="s">
        <v>197</v>
      </c>
      <c r="M91" s="1">
        <f t="shared" si="1"/>
        <v>6.0000000075888238E-5</v>
      </c>
    </row>
    <row r="92" spans="1:13" x14ac:dyDescent="0.2">
      <c r="A92" t="s">
        <v>102</v>
      </c>
      <c r="B92" t="s">
        <v>9</v>
      </c>
      <c r="C92">
        <v>5.1079999999999995E-4</v>
      </c>
      <c r="D92">
        <v>5.0195999999999999E-3</v>
      </c>
      <c r="E92">
        <v>5.5304000000000004E-3</v>
      </c>
      <c r="F92">
        <v>-41131.976210000001</v>
      </c>
      <c r="G92" s="1">
        <v>1.3599999999999999E-16</v>
      </c>
      <c r="H92">
        <v>20</v>
      </c>
      <c r="J92" s="2" t="s">
        <v>198</v>
      </c>
      <c r="M92" s="1">
        <f t="shared" si="1"/>
        <v>8.9999957708641887E-6</v>
      </c>
    </row>
    <row r="93" spans="1:13" x14ac:dyDescent="0.2">
      <c r="A93" t="s">
        <v>103</v>
      </c>
      <c r="B93" t="s">
        <v>9</v>
      </c>
      <c r="C93">
        <v>9.2917E-3</v>
      </c>
      <c r="D93">
        <v>0.15538360000000001</v>
      </c>
      <c r="E93">
        <v>0.1646753</v>
      </c>
      <c r="F93">
        <v>-39024.408490000002</v>
      </c>
      <c r="G93" s="1">
        <v>8.5400000000000005E-17</v>
      </c>
      <c r="H93">
        <v>46</v>
      </c>
      <c r="J93" s="3" t="s">
        <v>199</v>
      </c>
      <c r="M93" s="1">
        <f t="shared" si="1"/>
        <v>4.8000001697801054E-5</v>
      </c>
    </row>
    <row r="94" spans="1:13" x14ac:dyDescent="0.2">
      <c r="A94" t="s">
        <v>104</v>
      </c>
      <c r="B94" t="s">
        <v>9</v>
      </c>
      <c r="C94">
        <v>0.3263527</v>
      </c>
      <c r="D94">
        <v>1.7277861999999999</v>
      </c>
      <c r="E94">
        <v>2.0541388999999999</v>
      </c>
      <c r="F94">
        <v>-39976.783779999998</v>
      </c>
      <c r="G94" s="1">
        <v>2.2999999999999998E-13</v>
      </c>
      <c r="H94">
        <v>71</v>
      </c>
      <c r="J94" s="2" t="s">
        <v>200</v>
      </c>
      <c r="M94" s="1">
        <f t="shared" si="1"/>
        <v>-0.12220399999932852</v>
      </c>
    </row>
    <row r="95" spans="1:13" x14ac:dyDescent="0.2">
      <c r="A95" t="s">
        <v>105</v>
      </c>
      <c r="B95" t="s">
        <v>9</v>
      </c>
      <c r="C95">
        <v>5.4923600000000003E-2</v>
      </c>
      <c r="D95">
        <v>0.3964628</v>
      </c>
      <c r="E95">
        <v>0.45138640000000002</v>
      </c>
      <c r="F95">
        <v>458815.84720000002</v>
      </c>
      <c r="G95" s="1">
        <v>5.22E-16</v>
      </c>
      <c r="H95">
        <v>31</v>
      </c>
      <c r="J95" s="3" t="s">
        <v>201</v>
      </c>
      <c r="M95" s="1">
        <f t="shared" si="1"/>
        <v>1.0000017937272787E-5</v>
      </c>
    </row>
    <row r="96" spans="1:13" x14ac:dyDescent="0.2">
      <c r="A96" t="s">
        <v>106</v>
      </c>
      <c r="B96" t="s">
        <v>9</v>
      </c>
      <c r="C96">
        <v>3.5831000000000001E-3</v>
      </c>
      <c r="D96">
        <v>8.2593600000000003E-2</v>
      </c>
      <c r="E96">
        <v>8.6176699999999995E-2</v>
      </c>
      <c r="F96">
        <v>0.29214785999999998</v>
      </c>
      <c r="G96" s="1">
        <v>2.3200000000000001E-14</v>
      </c>
      <c r="H96">
        <v>44</v>
      </c>
      <c r="J96" s="2" t="s">
        <v>202</v>
      </c>
      <c r="M96" s="1">
        <f t="shared" si="1"/>
        <v>9.4909999970305137E-8</v>
      </c>
    </row>
    <row r="97" spans="1:13" x14ac:dyDescent="0.2">
      <c r="A97" t="s">
        <v>107</v>
      </c>
      <c r="B97" t="s">
        <v>9</v>
      </c>
      <c r="C97">
        <v>2.3270000000000001E-3</v>
      </c>
      <c r="D97">
        <v>2.5133800000000001E-2</v>
      </c>
      <c r="E97">
        <v>2.74608E-2</v>
      </c>
      <c r="F97">
        <v>129831.4641</v>
      </c>
      <c r="G97" s="1">
        <v>7.1100000000000008E-15</v>
      </c>
      <c r="H97">
        <v>22</v>
      </c>
      <c r="J97" s="3" t="s">
        <v>203</v>
      </c>
      <c r="M97" s="1">
        <f t="shared" si="1"/>
        <v>1.640000002225861E-3</v>
      </c>
    </row>
    <row r="98" spans="1:13" x14ac:dyDescent="0.2">
      <c r="A98" t="s">
        <v>108</v>
      </c>
      <c r="B98" t="s">
        <v>9</v>
      </c>
      <c r="C98">
        <v>3.04894E-2</v>
      </c>
      <c r="D98">
        <v>0.80216770000000004</v>
      </c>
      <c r="E98">
        <v>0.83265710000000004</v>
      </c>
      <c r="F98">
        <v>1.4429024450000001</v>
      </c>
      <c r="G98" s="1">
        <v>3.18E-15</v>
      </c>
      <c r="H98">
        <v>58</v>
      </c>
      <c r="J98" s="2" t="s">
        <v>204</v>
      </c>
      <c r="M98" s="1">
        <f t="shared" si="1"/>
        <v>3.3400000098993132E-8</v>
      </c>
    </row>
    <row r="99" spans="1:13" x14ac:dyDescent="0.2">
      <c r="A99" t="s">
        <v>109</v>
      </c>
      <c r="B99" t="s">
        <v>9</v>
      </c>
      <c r="C99">
        <v>6.4746399999999996E-2</v>
      </c>
      <c r="D99">
        <v>0.9584916</v>
      </c>
      <c r="E99">
        <v>1.0232380000000001</v>
      </c>
      <c r="F99">
        <v>1.304476336</v>
      </c>
      <c r="G99" s="1">
        <v>1.66E-15</v>
      </c>
      <c r="H99">
        <v>88</v>
      </c>
      <c r="J99" s="3" t="s">
        <v>205</v>
      </c>
      <c r="M99" s="1">
        <f t="shared" si="1"/>
        <v>2.900000017902471E-9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lp_results_3x3_epsilon=1e-12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dcterms:created xsi:type="dcterms:W3CDTF">2025-06-07T03:25:54Z</dcterms:created>
  <dcterms:modified xsi:type="dcterms:W3CDTF">2025-06-07T03:25:54Z</dcterms:modified>
</cp:coreProperties>
</file>