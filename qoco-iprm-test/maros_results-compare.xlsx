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qoco-iprm-matlab\"/>
    </mc:Choice>
  </mc:AlternateContent>
  <xr:revisionPtr revIDLastSave="0" documentId="13_ncr:2001_{50377FFB-27B1-4AAB-B26C-A788393E4BFF}" xr6:coauthVersionLast="47" xr6:coauthVersionMax="47" xr10:uidLastSave="{00000000-0000-0000-0000-000000000000}"/>
  <bookViews>
    <workbookView xWindow="-120" yWindow="-120" windowWidth="29040" windowHeight="17640" xr2:uid="{FC9D9A9B-5ABC-46F4-AFC5-43C0C08A3E70}"/>
  </bookViews>
  <sheets>
    <sheet name="maros_results - 副本" sheetId="1" r:id="rId1"/>
  </sheets>
  <calcPr calcId="191029"/>
  <fileRecoveryPr repairLoad="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2" i="1"/>
  <c r="N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3" i="1"/>
  <c r="L2" i="1"/>
</calcChain>
</file>

<file path=xl/sharedStrings.xml><?xml version="1.0" encoding="utf-8"?>
<sst xmlns="http://schemas.openxmlformats.org/spreadsheetml/2006/main" count="256" uniqueCount="135">
  <si>
    <t>test</t>
  </si>
  <si>
    <t>status</t>
  </si>
  <si>
    <t>setup_time</t>
  </si>
  <si>
    <t>solve_time</t>
  </si>
  <si>
    <t>run_time</t>
  </si>
  <si>
    <t>obj</t>
  </si>
  <si>
    <t>phi</t>
  </si>
  <si>
    <t>iters</t>
  </si>
  <si>
    <t>AUG2D</t>
  </si>
  <si>
    <t>QOCO_SOLVED</t>
  </si>
  <si>
    <t>AUG2DC</t>
  </si>
  <si>
    <t>AUG2DCQP</t>
  </si>
  <si>
    <t>QOCO_MAX_ITER</t>
  </si>
  <si>
    <t>AUG2DQP</t>
  </si>
  <si>
    <t>AUG3D</t>
  </si>
  <si>
    <t>AUG3DC</t>
  </si>
  <si>
    <t>AUG3DCQP</t>
  </si>
  <si>
    <t>AUG3DQP</t>
  </si>
  <si>
    <t>CVXQP1_L</t>
  </si>
  <si>
    <t>CVXQP1_M</t>
  </si>
  <si>
    <t>CVXQP1_S</t>
  </si>
  <si>
    <t>CVXQP2_L</t>
  </si>
  <si>
    <t>CVXQP2_M</t>
  </si>
  <si>
    <t>CVXQP2_S</t>
  </si>
  <si>
    <t>CVXQP3_L</t>
  </si>
  <si>
    <t>CVXQP3_M</t>
  </si>
  <si>
    <t>CVXQP3_S</t>
  </si>
  <si>
    <t>DTOC3</t>
  </si>
  <si>
    <t>DUAL1</t>
  </si>
  <si>
    <t>DUAL2</t>
  </si>
  <si>
    <t>DUAL3</t>
  </si>
  <si>
    <t>DUAL4</t>
  </si>
  <si>
    <t>DUALC1</t>
  </si>
  <si>
    <t>DUALC2</t>
  </si>
  <si>
    <t>DUALC5</t>
  </si>
  <si>
    <t>DUALC8</t>
  </si>
  <si>
    <t>GENHS28</t>
  </si>
  <si>
    <t>GOULDQP2</t>
  </si>
  <si>
    <t>GOULDQP3</t>
  </si>
  <si>
    <t>HS118</t>
  </si>
  <si>
    <t>HS21</t>
  </si>
  <si>
    <t>HS268</t>
  </si>
  <si>
    <t>HS35</t>
  </si>
  <si>
    <t>HS35MOD</t>
  </si>
  <si>
    <t>HS51</t>
  </si>
  <si>
    <t>HS52</t>
  </si>
  <si>
    <t>HS53</t>
  </si>
  <si>
    <t>HS76</t>
  </si>
  <si>
    <t>HUES-MOD</t>
  </si>
  <si>
    <t>HUESTIS</t>
  </si>
  <si>
    <t>KSIP</t>
  </si>
  <si>
    <t>LISWET1</t>
  </si>
  <si>
    <t>LISWET10</t>
  </si>
  <si>
    <t>LISWET11</t>
  </si>
  <si>
    <t>LISWET12</t>
  </si>
  <si>
    <t>LISWET2</t>
  </si>
  <si>
    <t>LISWET3</t>
  </si>
  <si>
    <t>LISWET4</t>
  </si>
  <si>
    <t>LISWET5</t>
  </si>
  <si>
    <t>LISWET6</t>
  </si>
  <si>
    <t>LISWET7</t>
  </si>
  <si>
    <t>LISWET8</t>
  </si>
  <si>
    <t>LISWET9</t>
  </si>
  <si>
    <t>LOTSCHD</t>
  </si>
  <si>
    <t>MOSARQP1</t>
  </si>
  <si>
    <t>MOSARQP2</t>
  </si>
  <si>
    <t>POWELL20</t>
  </si>
  <si>
    <t>PRIMAL1</t>
  </si>
  <si>
    <t>PRIMAL2</t>
  </si>
  <si>
    <t>PRIMAL3</t>
  </si>
  <si>
    <t>PRIMAL4</t>
  </si>
  <si>
    <t>PRIMALC1</t>
  </si>
  <si>
    <t>PRIMALC2</t>
  </si>
  <si>
    <t>PRIMALC5</t>
  </si>
  <si>
    <t>PRIMALC8</t>
  </si>
  <si>
    <t>Q25FV47</t>
  </si>
  <si>
    <t>QADLITTL</t>
  </si>
  <si>
    <t>QAFIRO</t>
  </si>
  <si>
    <t>QBANDM</t>
  </si>
  <si>
    <t>QBEACONF</t>
  </si>
  <si>
    <t>QBORE3D</t>
  </si>
  <si>
    <t>QBRANDY</t>
  </si>
  <si>
    <t>QCAPRI</t>
  </si>
  <si>
    <t>QE226</t>
  </si>
  <si>
    <t>QETAMACR</t>
  </si>
  <si>
    <t>QFFFFF80</t>
  </si>
  <si>
    <t>QFORPLAN</t>
  </si>
  <si>
    <t>QGFRDXPN</t>
  </si>
  <si>
    <t>QGROW15</t>
  </si>
  <si>
    <t>QGROW22</t>
  </si>
  <si>
    <t>QGROW7</t>
  </si>
  <si>
    <t>QISRAEL</t>
  </si>
  <si>
    <t>QPCBLEND</t>
  </si>
  <si>
    <t>QPCBOEI1</t>
  </si>
  <si>
    <t>QPCBOEI2</t>
  </si>
  <si>
    <t>QPCSTAIR</t>
  </si>
  <si>
    <t>QPILOTNO</t>
  </si>
  <si>
    <t>NaN</t>
  </si>
  <si>
    <t>QRECIPE</t>
  </si>
  <si>
    <t>QSC205</t>
  </si>
  <si>
    <t>QSCAGR25</t>
  </si>
  <si>
    <t>QSCAGR7</t>
  </si>
  <si>
    <t>QSCFXM1</t>
  </si>
  <si>
    <t>QSCFXM2</t>
  </si>
  <si>
    <t>QSCFXM3</t>
  </si>
  <si>
    <t>QSCORPIO</t>
  </si>
  <si>
    <t>QSCRS8</t>
  </si>
  <si>
    <t>QSCSD1</t>
  </si>
  <si>
    <t>QSCSD6</t>
  </si>
  <si>
    <t>QSCSD8</t>
  </si>
  <si>
    <t>QSCTAP1</t>
  </si>
  <si>
    <t>QSCTAP2</t>
  </si>
  <si>
    <t>QSCTAP3</t>
  </si>
  <si>
    <t>QSEBA</t>
  </si>
  <si>
    <t>QSHARE1B</t>
  </si>
  <si>
    <t>QSHARE2B</t>
  </si>
  <si>
    <t>QSHELL</t>
  </si>
  <si>
    <t>QSHIP04L</t>
  </si>
  <si>
    <t>QSHIP04S</t>
  </si>
  <si>
    <t>QSHIP08L</t>
  </si>
  <si>
    <t>QSHIP08S</t>
  </si>
  <si>
    <t>QSHIP12L</t>
  </si>
  <si>
    <t>QSHIP12S</t>
  </si>
  <si>
    <t>QSIERRA</t>
  </si>
  <si>
    <t>QSTAIR</t>
  </si>
  <si>
    <t>QSTANDAT</t>
  </si>
  <si>
    <t>S268</t>
  </si>
  <si>
    <t>STCQP1</t>
  </si>
  <si>
    <t>STCQP2</t>
  </si>
  <si>
    <t>TAME</t>
  </si>
  <si>
    <t>UBH1</t>
  </si>
  <si>
    <t>YAO</t>
  </si>
  <si>
    <t>ZECEVIC2</t>
  </si>
  <si>
    <t>QOCO obj</t>
    <phoneticPr fontId="18" type="noConversion"/>
  </si>
  <si>
    <t>delta obj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</si>
</sst>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4" fillId="0" borderId="0" xfId="0" applyFont="1">
      <alignment vertical="center"/>
    </xf>
    <xf numFmtId="11" fontId="14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1C07-21C0-4F95-B29B-4F3F66C1C6CB}">
  <dimension ref="A1:N135"/>
  <sheetViews>
    <sheetView tabSelected="1" topLeftCell="A64" workbookViewId="0">
      <selection activeCell="O106" sqref="O106"/>
    </sheetView>
  </sheetViews>
  <sheetFormatPr defaultRowHeight="14.25" x14ac:dyDescent="0.2"/>
  <cols>
    <col min="7" max="7" width="13" bestFit="1" customWidth="1"/>
    <col min="10" max="10" width="10.5" bestFit="1" customWidth="1"/>
    <col min="12" max="12" width="13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133</v>
      </c>
      <c r="L1" t="s">
        <v>134</v>
      </c>
    </row>
    <row r="2" spans="1:14" x14ac:dyDescent="0.2">
      <c r="A2" t="s">
        <v>8</v>
      </c>
      <c r="B2" t="s">
        <v>9</v>
      </c>
      <c r="C2">
        <v>9.6241E-3</v>
      </c>
      <c r="D2">
        <v>1.60374E-2</v>
      </c>
      <c r="E2">
        <v>2.56615E-2</v>
      </c>
      <c r="F2">
        <v>1677511.75258153</v>
      </c>
      <c r="G2" s="1">
        <v>3.1253775110687102E-17</v>
      </c>
      <c r="H2">
        <v>0</v>
      </c>
      <c r="J2">
        <v>1677511.7525812101</v>
      </c>
      <c r="L2">
        <f>F2-J2</f>
        <v>3.1990930438041687E-7</v>
      </c>
      <c r="M2" t="b">
        <f>L2&lt;5</f>
        <v>1</v>
      </c>
      <c r="N2" t="b">
        <f>L2/(ABS(F2)+ABS(J2))*2&lt;=0.1</f>
        <v>1</v>
      </c>
    </row>
    <row r="3" spans="1:14" x14ac:dyDescent="0.2">
      <c r="A3" t="s">
        <v>10</v>
      </c>
      <c r="B3" t="s">
        <v>9</v>
      </c>
      <c r="C3">
        <v>9.6895000000000002E-3</v>
      </c>
      <c r="D3">
        <v>1.6613099999999999E-2</v>
      </c>
      <c r="E3">
        <v>2.6302599999999999E-2</v>
      </c>
      <c r="F3">
        <v>1808268.06520171</v>
      </c>
      <c r="G3" s="1">
        <v>3.8034305694875099E-17</v>
      </c>
      <c r="H3">
        <v>0</v>
      </c>
      <c r="J3">
        <v>1808268.06520135</v>
      </c>
      <c r="L3">
        <f t="shared" ref="L3:L66" si="0">F3-J3</f>
        <v>3.5995617508888245E-7</v>
      </c>
      <c r="M3" t="b">
        <f t="shared" ref="M3:M66" si="1">L3&lt;5</f>
        <v>1</v>
      </c>
    </row>
    <row r="4" spans="1:14" x14ac:dyDescent="0.2">
      <c r="A4" t="s">
        <v>11</v>
      </c>
      <c r="B4" t="s">
        <v>12</v>
      </c>
      <c r="C4">
        <v>1.7549700000000001E-2</v>
      </c>
      <c r="D4">
        <v>1.2572669000000001</v>
      </c>
      <c r="E4">
        <v>1.2748166000000001</v>
      </c>
      <c r="F4">
        <v>4188634.1662898599</v>
      </c>
      <c r="G4" s="2">
        <v>87470794838.082001</v>
      </c>
      <c r="H4">
        <v>50</v>
      </c>
      <c r="J4">
        <v>6488034.7445740001</v>
      </c>
      <c r="L4">
        <f t="shared" si="0"/>
        <v>-2299400.5782841402</v>
      </c>
      <c r="M4" t="b">
        <f t="shared" si="1"/>
        <v>1</v>
      </c>
    </row>
    <row r="5" spans="1:14" x14ac:dyDescent="0.2">
      <c r="A5" t="s">
        <v>13</v>
      </c>
      <c r="B5" t="s">
        <v>12</v>
      </c>
      <c r="C5">
        <v>1.6207699999999998E-2</v>
      </c>
      <c r="D5">
        <v>1.2471570999999999</v>
      </c>
      <c r="E5">
        <v>1.2633648</v>
      </c>
      <c r="F5">
        <v>3980918.9672561302</v>
      </c>
      <c r="G5" s="2">
        <v>79171090678.024307</v>
      </c>
      <c r="H5">
        <v>50</v>
      </c>
      <c r="J5">
        <v>6227112.1453855298</v>
      </c>
      <c r="L5">
        <f t="shared" si="0"/>
        <v>-2246193.1781293997</v>
      </c>
      <c r="M5" t="b">
        <f t="shared" si="1"/>
        <v>1</v>
      </c>
    </row>
    <row r="6" spans="1:14" x14ac:dyDescent="0.2">
      <c r="A6" t="s">
        <v>14</v>
      </c>
      <c r="B6" t="s">
        <v>9</v>
      </c>
      <c r="C6">
        <v>2.6457E-3</v>
      </c>
      <c r="D6">
        <v>2.9374000000000002E-3</v>
      </c>
      <c r="E6">
        <v>5.5830999999999997E-3</v>
      </c>
      <c r="F6">
        <v>-782.432274207516</v>
      </c>
      <c r="G6" s="1">
        <v>1.7359959525897601E-27</v>
      </c>
      <c r="H6">
        <v>0</v>
      </c>
      <c r="J6">
        <v>-782.43227420744802</v>
      </c>
      <c r="L6">
        <f t="shared" si="0"/>
        <v>-6.7984728957526386E-11</v>
      </c>
      <c r="M6" t="b">
        <f t="shared" si="1"/>
        <v>1</v>
      </c>
    </row>
    <row r="7" spans="1:14" x14ac:dyDescent="0.2">
      <c r="A7" t="s">
        <v>15</v>
      </c>
      <c r="B7" t="s">
        <v>9</v>
      </c>
      <c r="C7">
        <v>2.2030000000000001E-3</v>
      </c>
      <c r="D7">
        <v>2.5152E-3</v>
      </c>
      <c r="E7">
        <v>4.7181999999999997E-3</v>
      </c>
      <c r="F7">
        <v>-1165.23756131102</v>
      </c>
      <c r="G7" s="1">
        <v>2.1902372032729E-27</v>
      </c>
      <c r="H7">
        <v>0</v>
      </c>
      <c r="J7">
        <v>-1165.237561311</v>
      </c>
      <c r="L7">
        <f t="shared" si="0"/>
        <v>-2.0008883439004421E-11</v>
      </c>
      <c r="M7" t="b">
        <f t="shared" si="1"/>
        <v>1</v>
      </c>
    </row>
    <row r="8" spans="1:14" x14ac:dyDescent="0.2">
      <c r="A8" t="s">
        <v>16</v>
      </c>
      <c r="B8" t="s">
        <v>12</v>
      </c>
      <c r="C8">
        <v>2.5374E-3</v>
      </c>
      <c r="D8">
        <v>0.15865509999999999</v>
      </c>
      <c r="E8">
        <v>0.16119249999999999</v>
      </c>
      <c r="F8">
        <v>-942.81354358290002</v>
      </c>
      <c r="G8">
        <v>1.79425492187119E-3</v>
      </c>
      <c r="H8">
        <v>50</v>
      </c>
      <c r="J8">
        <v>-943.13782313143201</v>
      </c>
      <c r="L8">
        <f t="shared" si="0"/>
        <v>0.32427954853199026</v>
      </c>
      <c r="M8" t="b">
        <f t="shared" si="1"/>
        <v>1</v>
      </c>
    </row>
    <row r="9" spans="1:14" x14ac:dyDescent="0.2">
      <c r="A9" t="s">
        <v>17</v>
      </c>
      <c r="B9" t="s">
        <v>12</v>
      </c>
      <c r="C9">
        <v>3.1714999999999998E-3</v>
      </c>
      <c r="D9">
        <v>0.16721829999999999</v>
      </c>
      <c r="E9">
        <v>0.17038980000000001</v>
      </c>
      <c r="F9">
        <v>-654.664668741524</v>
      </c>
      <c r="G9">
        <v>0.19928223453723201</v>
      </c>
      <c r="H9">
        <v>50</v>
      </c>
      <c r="J9">
        <v>-661.26232293653004</v>
      </c>
      <c r="L9">
        <f t="shared" si="0"/>
        <v>6.5976541950060437</v>
      </c>
      <c r="M9" t="b">
        <f t="shared" si="1"/>
        <v>0</v>
      </c>
    </row>
    <row r="10" spans="1:14" x14ac:dyDescent="0.2">
      <c r="A10" t="s">
        <v>18</v>
      </c>
      <c r="B10" t="s">
        <v>12</v>
      </c>
      <c r="C10">
        <v>4.2474600000000001E-2</v>
      </c>
      <c r="D10">
        <v>178.2764995</v>
      </c>
      <c r="E10">
        <v>178.31897409999999</v>
      </c>
      <c r="F10">
        <v>87289460.084332302</v>
      </c>
      <c r="G10" s="2">
        <v>18362914.520026799</v>
      </c>
      <c r="H10">
        <v>50</v>
      </c>
      <c r="L10">
        <f t="shared" si="0"/>
        <v>87289460.084332302</v>
      </c>
      <c r="M10" t="b">
        <f t="shared" si="1"/>
        <v>0</v>
      </c>
    </row>
    <row r="11" spans="1:14" x14ac:dyDescent="0.2">
      <c r="A11" t="s">
        <v>19</v>
      </c>
      <c r="B11" t="s">
        <v>12</v>
      </c>
      <c r="C11">
        <v>2.4391999999999999E-3</v>
      </c>
      <c r="D11">
        <v>0.4706072</v>
      </c>
      <c r="E11">
        <v>0.47304639999999998</v>
      </c>
      <c r="F11">
        <v>907745.48310470697</v>
      </c>
      <c r="G11" s="2">
        <v>566142.94642957801</v>
      </c>
      <c r="H11">
        <v>50</v>
      </c>
      <c r="J11">
        <v>1087511.6019657</v>
      </c>
      <c r="L11">
        <f t="shared" si="0"/>
        <v>-179766.11886099307</v>
      </c>
      <c r="M11" t="b">
        <f t="shared" si="1"/>
        <v>1</v>
      </c>
    </row>
    <row r="12" spans="1:14" x14ac:dyDescent="0.2">
      <c r="A12" t="s">
        <v>20</v>
      </c>
      <c r="B12" t="s">
        <v>12</v>
      </c>
      <c r="C12">
        <v>2.7950000000000002E-4</v>
      </c>
      <c r="D12">
        <v>6.7495000000000003E-3</v>
      </c>
      <c r="E12">
        <v>7.0289999999999997E-3</v>
      </c>
      <c r="F12">
        <v>11550.3549446369</v>
      </c>
      <c r="G12">
        <v>2.2436785600717202E-3</v>
      </c>
      <c r="H12">
        <v>50</v>
      </c>
      <c r="J12">
        <v>11590.7181627392</v>
      </c>
      <c r="L12">
        <f t="shared" si="0"/>
        <v>-40.36321810230038</v>
      </c>
      <c r="M12" t="b">
        <f t="shared" si="1"/>
        <v>1</v>
      </c>
    </row>
    <row r="13" spans="1:14" x14ac:dyDescent="0.2">
      <c r="A13" t="s">
        <v>21</v>
      </c>
      <c r="B13" t="s">
        <v>12</v>
      </c>
      <c r="C13">
        <v>3.5110200000000001E-2</v>
      </c>
      <c r="D13">
        <v>118.5608149</v>
      </c>
      <c r="E13">
        <v>118.5959251</v>
      </c>
      <c r="F13">
        <v>43143119.723293699</v>
      </c>
      <c r="G13" s="2">
        <v>76521546.074710593</v>
      </c>
      <c r="H13">
        <v>50</v>
      </c>
      <c r="J13">
        <v>81842458.269696295</v>
      </c>
      <c r="L13">
        <f t="shared" si="0"/>
        <v>-38699338.546402596</v>
      </c>
      <c r="M13" t="b">
        <f t="shared" si="1"/>
        <v>1</v>
      </c>
    </row>
    <row r="14" spans="1:14" x14ac:dyDescent="0.2">
      <c r="A14" t="s">
        <v>22</v>
      </c>
      <c r="B14" t="s">
        <v>12</v>
      </c>
      <c r="C14">
        <v>1.9113000000000001E-3</v>
      </c>
      <c r="D14">
        <v>0.32765309999999997</v>
      </c>
      <c r="E14">
        <v>0.32956439999999998</v>
      </c>
      <c r="F14">
        <v>480295.48474695103</v>
      </c>
      <c r="G14" s="2">
        <v>6838369.4985711398</v>
      </c>
      <c r="H14">
        <v>50</v>
      </c>
      <c r="J14">
        <v>820155.42873749405</v>
      </c>
      <c r="L14">
        <f t="shared" si="0"/>
        <v>-339859.94399054302</v>
      </c>
      <c r="M14" t="b">
        <f t="shared" si="1"/>
        <v>1</v>
      </c>
    </row>
    <row r="15" spans="1:14" x14ac:dyDescent="0.2">
      <c r="A15" t="s">
        <v>23</v>
      </c>
      <c r="B15" t="s">
        <v>12</v>
      </c>
      <c r="C15">
        <v>2.1579999999999999E-4</v>
      </c>
      <c r="D15">
        <v>6.8433000000000001E-3</v>
      </c>
      <c r="E15">
        <v>7.0590999999999996E-3</v>
      </c>
      <c r="F15">
        <v>6848.9387168105904</v>
      </c>
      <c r="G15" s="2">
        <v>1232.3479645991799</v>
      </c>
      <c r="H15">
        <v>50</v>
      </c>
      <c r="J15">
        <v>8120.9405012923999</v>
      </c>
      <c r="L15">
        <f t="shared" si="0"/>
        <v>-1272.0017844818094</v>
      </c>
      <c r="M15" t="b">
        <f t="shared" si="1"/>
        <v>1</v>
      </c>
    </row>
    <row r="16" spans="1:14" x14ac:dyDescent="0.2">
      <c r="A16" t="s">
        <v>24</v>
      </c>
      <c r="B16" t="s">
        <v>12</v>
      </c>
      <c r="C16">
        <v>5.8277000000000002E-2</v>
      </c>
      <c r="D16">
        <v>214.83223269999999</v>
      </c>
      <c r="E16">
        <v>214.8905097</v>
      </c>
      <c r="F16">
        <v>104373377.317698</v>
      </c>
      <c r="G16" s="2">
        <v>780.53346726098403</v>
      </c>
      <c r="H16">
        <v>50</v>
      </c>
      <c r="L16">
        <f t="shared" si="0"/>
        <v>104373377.317698</v>
      </c>
      <c r="M16" t="b">
        <f t="shared" si="1"/>
        <v>0</v>
      </c>
    </row>
    <row r="17" spans="1:13" x14ac:dyDescent="0.2">
      <c r="A17" t="s">
        <v>25</v>
      </c>
      <c r="B17" t="s">
        <v>12</v>
      </c>
      <c r="C17">
        <v>3.4581999999999998E-3</v>
      </c>
      <c r="D17">
        <v>0.5579094</v>
      </c>
      <c r="E17">
        <v>0.56136759999999997</v>
      </c>
      <c r="F17">
        <v>1276263.4829488299</v>
      </c>
      <c r="G17" s="2">
        <v>100853.474718278</v>
      </c>
      <c r="H17">
        <v>50</v>
      </c>
      <c r="J17">
        <v>1362827.6645354801</v>
      </c>
      <c r="L17">
        <f t="shared" si="0"/>
        <v>-86564.1815866502</v>
      </c>
      <c r="M17" t="b">
        <f t="shared" si="1"/>
        <v>1</v>
      </c>
    </row>
    <row r="18" spans="1:13" x14ac:dyDescent="0.2">
      <c r="A18" t="s">
        <v>26</v>
      </c>
      <c r="B18" t="s">
        <v>12</v>
      </c>
      <c r="C18">
        <v>7.5509999999999998E-4</v>
      </c>
      <c r="D18">
        <v>1.2480700000000001E-2</v>
      </c>
      <c r="E18">
        <v>1.3235800000000001E-2</v>
      </c>
      <c r="F18">
        <v>11913.394267952101</v>
      </c>
      <c r="G18">
        <v>1.41138803805879E-3</v>
      </c>
      <c r="H18">
        <v>50</v>
      </c>
      <c r="J18">
        <v>11943.432219242201</v>
      </c>
      <c r="L18">
        <f t="shared" si="0"/>
        <v>-30.037951290099954</v>
      </c>
      <c r="M18" t="b">
        <f t="shared" si="1"/>
        <v>1</v>
      </c>
    </row>
    <row r="19" spans="1:13" x14ac:dyDescent="0.2">
      <c r="A19" t="s">
        <v>27</v>
      </c>
      <c r="B19" t="s">
        <v>9</v>
      </c>
      <c r="C19">
        <v>5.8517999999999999E-3</v>
      </c>
      <c r="D19">
        <v>3.6025799999999997E-2</v>
      </c>
      <c r="E19">
        <v>4.1877600000000001E-2</v>
      </c>
      <c r="F19">
        <v>235.19828692357399</v>
      </c>
      <c r="G19" s="1">
        <v>5.7403541498304003E-6</v>
      </c>
      <c r="H19">
        <v>8</v>
      </c>
      <c r="J19">
        <v>235.26247291005399</v>
      </c>
      <c r="L19">
        <f t="shared" si="0"/>
        <v>-6.4185986479998292E-2</v>
      </c>
      <c r="M19" t="b">
        <f t="shared" si="1"/>
        <v>1</v>
      </c>
    </row>
    <row r="20" spans="1:13" x14ac:dyDescent="0.2">
      <c r="A20" t="s">
        <v>28</v>
      </c>
      <c r="B20" t="s">
        <v>12</v>
      </c>
      <c r="C20">
        <v>4.0910000000000002E-4</v>
      </c>
      <c r="D20">
        <v>3.6290299999999998E-2</v>
      </c>
      <c r="E20">
        <v>3.66994E-2</v>
      </c>
      <c r="F20">
        <v>3.7662149815840998E-2</v>
      </c>
      <c r="G20">
        <v>3.3235803952044698</v>
      </c>
      <c r="H20">
        <v>50</v>
      </c>
      <c r="J20">
        <v>3.5012968879187201E-2</v>
      </c>
      <c r="L20">
        <f t="shared" si="0"/>
        <v>2.6491809366537972E-3</v>
      </c>
      <c r="M20" t="b">
        <f t="shared" si="1"/>
        <v>1</v>
      </c>
    </row>
    <row r="21" spans="1:13" x14ac:dyDescent="0.2">
      <c r="A21" t="s">
        <v>29</v>
      </c>
      <c r="B21" t="s">
        <v>12</v>
      </c>
      <c r="C21">
        <v>4.6339999999999999E-4</v>
      </c>
      <c r="D21">
        <v>7.7598899999999998E-2</v>
      </c>
      <c r="E21">
        <v>7.8062300000000001E-2</v>
      </c>
      <c r="F21">
        <v>3.39947923095716E-2</v>
      </c>
      <c r="G21">
        <v>3.5876281989658101</v>
      </c>
      <c r="H21">
        <v>50</v>
      </c>
      <c r="J21">
        <v>3.3733677750035697E-2</v>
      </c>
      <c r="L21">
        <f t="shared" si="0"/>
        <v>2.6111455953590351E-4</v>
      </c>
      <c r="M21" t="b">
        <f t="shared" si="1"/>
        <v>1</v>
      </c>
    </row>
    <row r="22" spans="1:13" x14ac:dyDescent="0.2">
      <c r="A22" t="s">
        <v>30</v>
      </c>
      <c r="B22" t="s">
        <v>12</v>
      </c>
      <c r="C22">
        <v>6.2160000000000004E-4</v>
      </c>
      <c r="D22">
        <v>8.5008500000000001E-2</v>
      </c>
      <c r="E22">
        <v>8.5630100000000001E-2</v>
      </c>
      <c r="F22">
        <v>0.136026219406328</v>
      </c>
      <c r="G22">
        <v>3.9011382286018899</v>
      </c>
      <c r="H22">
        <v>50</v>
      </c>
      <c r="J22">
        <v>0.135755842629638</v>
      </c>
      <c r="L22">
        <f t="shared" si="0"/>
        <v>2.703767766900067E-4</v>
      </c>
      <c r="M22" t="b">
        <f t="shared" si="1"/>
        <v>1</v>
      </c>
    </row>
    <row r="23" spans="1:13" x14ac:dyDescent="0.2">
      <c r="A23" t="s">
        <v>31</v>
      </c>
      <c r="B23" t="s">
        <v>12</v>
      </c>
      <c r="C23">
        <v>5.7050000000000004E-4</v>
      </c>
      <c r="D23">
        <v>2.3905300000000001E-2</v>
      </c>
      <c r="E23">
        <v>2.4475799999999999E-2</v>
      </c>
      <c r="F23">
        <v>0.74268362932794496</v>
      </c>
      <c r="G23">
        <v>3.0518103093841602</v>
      </c>
      <c r="H23">
        <v>50</v>
      </c>
      <c r="J23">
        <v>0.746090847140222</v>
      </c>
      <c r="L23">
        <f t="shared" si="0"/>
        <v>-3.4072178122770413E-3</v>
      </c>
      <c r="M23" t="b">
        <f t="shared" si="1"/>
        <v>1</v>
      </c>
    </row>
    <row r="24" spans="1:13" x14ac:dyDescent="0.2">
      <c r="A24" t="s">
        <v>32</v>
      </c>
      <c r="B24" t="s">
        <v>12</v>
      </c>
      <c r="C24">
        <v>2.9510000000000002E-4</v>
      </c>
      <c r="D24">
        <v>1.21464E-2</v>
      </c>
      <c r="E24">
        <v>1.2441499999999999E-2</v>
      </c>
      <c r="F24">
        <v>148497.83454559001</v>
      </c>
      <c r="G24" s="2">
        <v>204280.53902450801</v>
      </c>
      <c r="H24">
        <v>50</v>
      </c>
      <c r="J24">
        <v>6155.2508761687304</v>
      </c>
      <c r="L24">
        <f t="shared" si="0"/>
        <v>142342.58366942129</v>
      </c>
      <c r="M24" t="b">
        <f t="shared" si="1"/>
        <v>0</v>
      </c>
    </row>
    <row r="25" spans="1:13" x14ac:dyDescent="0.2">
      <c r="A25" t="s">
        <v>33</v>
      </c>
      <c r="B25" t="s">
        <v>12</v>
      </c>
      <c r="C25">
        <v>2.152E-4</v>
      </c>
      <c r="D25">
        <v>1.0081400000000001E-2</v>
      </c>
      <c r="E25">
        <v>1.02966E-2</v>
      </c>
      <c r="F25">
        <v>6407.7535255474704</v>
      </c>
      <c r="G25" s="2">
        <v>4651.2639377730102</v>
      </c>
      <c r="H25">
        <v>50</v>
      </c>
      <c r="J25">
        <v>3551.30769281119</v>
      </c>
      <c r="L25">
        <f t="shared" si="0"/>
        <v>2856.4458327362804</v>
      </c>
      <c r="M25" t="b">
        <f t="shared" si="1"/>
        <v>0</v>
      </c>
    </row>
    <row r="26" spans="1:13" x14ac:dyDescent="0.2">
      <c r="A26" t="s">
        <v>34</v>
      </c>
      <c r="B26" t="s">
        <v>12</v>
      </c>
      <c r="C26">
        <v>1.6809999999999999E-4</v>
      </c>
      <c r="D26">
        <v>1.3075099999999999E-2</v>
      </c>
      <c r="E26">
        <v>1.32432E-2</v>
      </c>
      <c r="F26">
        <v>-83.794375318686505</v>
      </c>
      <c r="G26">
        <v>0.55889898482369205</v>
      </c>
      <c r="H26">
        <v>50</v>
      </c>
      <c r="J26">
        <v>427.23232798841798</v>
      </c>
      <c r="L26">
        <f t="shared" si="0"/>
        <v>-511.02670330710447</v>
      </c>
      <c r="M26" t="b">
        <f t="shared" si="1"/>
        <v>1</v>
      </c>
    </row>
    <row r="27" spans="1:13" x14ac:dyDescent="0.2">
      <c r="A27" t="s">
        <v>35</v>
      </c>
      <c r="B27" t="s">
        <v>12</v>
      </c>
      <c r="C27">
        <v>2.9290000000000002E-4</v>
      </c>
      <c r="D27">
        <v>1.8575500000000002E-2</v>
      </c>
      <c r="E27">
        <v>1.88684E-2</v>
      </c>
      <c r="F27">
        <v>16926.556777164002</v>
      </c>
      <c r="G27">
        <v>3.2876309793515399</v>
      </c>
      <c r="H27">
        <v>50</v>
      </c>
      <c r="J27">
        <v>18309.3588350112</v>
      </c>
      <c r="L27">
        <f t="shared" si="0"/>
        <v>-1382.8020578471987</v>
      </c>
      <c r="M27" t="b">
        <f t="shared" si="1"/>
        <v>1</v>
      </c>
    </row>
    <row r="28" spans="1:13" x14ac:dyDescent="0.2">
      <c r="A28" t="s">
        <v>36</v>
      </c>
      <c r="B28" t="s">
        <v>9</v>
      </c>
      <c r="C28" s="1">
        <v>3.7400000000000001E-5</v>
      </c>
      <c r="D28" s="1">
        <v>8.7700000000000004E-5</v>
      </c>
      <c r="E28">
        <v>1.2510000000000001E-4</v>
      </c>
      <c r="F28">
        <v>0.92717369376639103</v>
      </c>
      <c r="G28" s="1">
        <v>2.6847463424758098E-31</v>
      </c>
      <c r="H28">
        <v>0</v>
      </c>
      <c r="J28">
        <v>0.92717369376639003</v>
      </c>
      <c r="L28">
        <f t="shared" si="0"/>
        <v>9.9920072216264089E-16</v>
      </c>
      <c r="M28" t="b">
        <f t="shared" si="1"/>
        <v>1</v>
      </c>
    </row>
    <row r="29" spans="1:13" x14ac:dyDescent="0.2">
      <c r="A29" t="s">
        <v>37</v>
      </c>
      <c r="B29" t="s">
        <v>12</v>
      </c>
      <c r="C29">
        <v>1.2172000000000001E-3</v>
      </c>
      <c r="D29">
        <v>4.4615299999999997E-2</v>
      </c>
      <c r="E29">
        <v>4.5832499999999998E-2</v>
      </c>
      <c r="F29">
        <v>2.5413640894231103E-4</v>
      </c>
      <c r="G29">
        <v>5.8639045450521401</v>
      </c>
      <c r="H29">
        <v>50</v>
      </c>
      <c r="J29">
        <v>1.8428679152558599E-4</v>
      </c>
      <c r="L29">
        <f t="shared" si="0"/>
        <v>6.9849617416725034E-5</v>
      </c>
      <c r="M29" t="b">
        <f t="shared" si="1"/>
        <v>1</v>
      </c>
    </row>
    <row r="30" spans="1:13" x14ac:dyDescent="0.2">
      <c r="A30" t="s">
        <v>38</v>
      </c>
      <c r="B30" t="s">
        <v>12</v>
      </c>
      <c r="C30">
        <v>1.0937E-3</v>
      </c>
      <c r="D30">
        <v>3.0808499999999999E-2</v>
      </c>
      <c r="E30">
        <v>3.1902199999999999E-2</v>
      </c>
      <c r="F30">
        <v>-29647.646181759501</v>
      </c>
      <c r="G30">
        <v>7.6860912543729896E-3</v>
      </c>
      <c r="H30">
        <v>50</v>
      </c>
      <c r="J30">
        <v>-29647.837194224099</v>
      </c>
      <c r="L30">
        <f t="shared" si="0"/>
        <v>0.191012464598316</v>
      </c>
      <c r="M30" t="b">
        <f t="shared" si="1"/>
        <v>1</v>
      </c>
    </row>
    <row r="31" spans="1:13" x14ac:dyDescent="0.2">
      <c r="A31" t="s">
        <v>39</v>
      </c>
      <c r="B31" t="s">
        <v>12</v>
      </c>
      <c r="C31" s="1">
        <v>9.7600000000000001E-5</v>
      </c>
      <c r="D31">
        <v>1.0168E-3</v>
      </c>
      <c r="E31">
        <v>1.1144E-3</v>
      </c>
      <c r="F31">
        <v>655.66558890916701</v>
      </c>
      <c r="G31">
        <v>13.131894274255</v>
      </c>
      <c r="H31">
        <v>50</v>
      </c>
      <c r="J31">
        <v>664.82045094716705</v>
      </c>
      <c r="L31">
        <f t="shared" si="0"/>
        <v>-9.154862038000033</v>
      </c>
      <c r="M31" t="b">
        <f t="shared" si="1"/>
        <v>1</v>
      </c>
    </row>
    <row r="32" spans="1:13" x14ac:dyDescent="0.2">
      <c r="A32" t="s">
        <v>40</v>
      </c>
      <c r="B32" t="s">
        <v>12</v>
      </c>
      <c r="C32" s="1">
        <v>2.9899999999999998E-5</v>
      </c>
      <c r="D32">
        <v>3.4739999999999999E-4</v>
      </c>
      <c r="E32">
        <v>3.7730000000000001E-4</v>
      </c>
      <c r="F32">
        <v>3.9997508226089801E-2</v>
      </c>
      <c r="G32">
        <v>4.8080887172040099E-4</v>
      </c>
      <c r="H32">
        <v>50</v>
      </c>
      <c r="J32">
        <v>4.00000068752435E-2</v>
      </c>
      <c r="L32">
        <f t="shared" si="0"/>
        <v>-2.498649153699628E-6</v>
      </c>
      <c r="M32" t="b">
        <f t="shared" si="1"/>
        <v>1</v>
      </c>
    </row>
    <row r="33" spans="1:13" x14ac:dyDescent="0.2">
      <c r="A33" t="s">
        <v>41</v>
      </c>
      <c r="B33" t="s">
        <v>12</v>
      </c>
      <c r="C33" s="1">
        <v>4.3399999999999998E-5</v>
      </c>
      <c r="D33">
        <v>8.3359999999999999E-4</v>
      </c>
      <c r="E33">
        <v>8.7699999999999996E-4</v>
      </c>
      <c r="F33">
        <v>-14462.9174964336</v>
      </c>
      <c r="G33">
        <v>1.4266633339077701E-2</v>
      </c>
      <c r="H33">
        <v>50</v>
      </c>
      <c r="J33">
        <v>-14462.9994857852</v>
      </c>
      <c r="L33">
        <f t="shared" si="0"/>
        <v>8.1989351599986549E-2</v>
      </c>
      <c r="M33" t="b">
        <f t="shared" si="1"/>
        <v>1</v>
      </c>
    </row>
    <row r="34" spans="1:13" x14ac:dyDescent="0.2">
      <c r="A34" t="s">
        <v>42</v>
      </c>
      <c r="B34" t="s">
        <v>9</v>
      </c>
      <c r="C34" s="1">
        <v>3.15E-5</v>
      </c>
      <c r="D34" s="1">
        <v>8.6000000000000003E-5</v>
      </c>
      <c r="E34">
        <v>1.175E-4</v>
      </c>
      <c r="F34">
        <v>-8.8886667812502207</v>
      </c>
      <c r="G34" s="1">
        <v>8.8590191888521003E-7</v>
      </c>
      <c r="H34">
        <v>2</v>
      </c>
      <c r="J34">
        <v>-8.8888887149912392</v>
      </c>
      <c r="L34">
        <f t="shared" si="0"/>
        <v>2.219337410185318E-4</v>
      </c>
      <c r="M34" t="b">
        <f t="shared" si="1"/>
        <v>1</v>
      </c>
    </row>
    <row r="35" spans="1:13" x14ac:dyDescent="0.2">
      <c r="A35" t="s">
        <v>43</v>
      </c>
      <c r="B35" t="s">
        <v>12</v>
      </c>
      <c r="C35" s="1">
        <v>1.9199999999999999E-5</v>
      </c>
      <c r="D35">
        <v>4.6650000000000001E-4</v>
      </c>
      <c r="E35">
        <v>4.8569999999999999E-4</v>
      </c>
      <c r="F35">
        <v>-8.7503953901054192</v>
      </c>
      <c r="G35" s="1">
        <v>3.1440026641608703E-5</v>
      </c>
      <c r="H35">
        <v>50</v>
      </c>
      <c r="J35">
        <v>-8.7499998625254403</v>
      </c>
      <c r="L35">
        <f t="shared" si="0"/>
        <v>-3.9552757997896038E-4</v>
      </c>
      <c r="M35" t="b">
        <f t="shared" si="1"/>
        <v>1</v>
      </c>
    </row>
    <row r="36" spans="1:13" x14ac:dyDescent="0.2">
      <c r="A36" t="s">
        <v>44</v>
      </c>
      <c r="B36" t="s">
        <v>9</v>
      </c>
      <c r="C36" s="1">
        <v>3.3099999999999998E-5</v>
      </c>
      <c r="D36">
        <v>1.042E-4</v>
      </c>
      <c r="E36">
        <v>1.373E-4</v>
      </c>
      <c r="F36">
        <v>-6</v>
      </c>
      <c r="G36" s="1">
        <v>9.8048287601850308E-31</v>
      </c>
      <c r="H36">
        <v>0</v>
      </c>
      <c r="J36">
        <v>-6</v>
      </c>
      <c r="L36">
        <f t="shared" si="0"/>
        <v>0</v>
      </c>
      <c r="M36" t="b">
        <f t="shared" si="1"/>
        <v>1</v>
      </c>
    </row>
    <row r="37" spans="1:13" x14ac:dyDescent="0.2">
      <c r="A37" t="s">
        <v>45</v>
      </c>
      <c r="B37" t="s">
        <v>9</v>
      </c>
      <c r="C37" s="1">
        <v>2.5000000000000001E-5</v>
      </c>
      <c r="D37">
        <v>1.053E-4</v>
      </c>
      <c r="E37">
        <v>1.303E-4</v>
      </c>
      <c r="F37">
        <v>-0.67335243553032298</v>
      </c>
      <c r="G37" s="1">
        <v>3.7493724897488798E-28</v>
      </c>
      <c r="H37">
        <v>0</v>
      </c>
      <c r="J37">
        <v>-0.67335243553032298</v>
      </c>
      <c r="L37">
        <f t="shared" si="0"/>
        <v>0</v>
      </c>
      <c r="M37" t="b">
        <f t="shared" si="1"/>
        <v>1</v>
      </c>
    </row>
    <row r="38" spans="1:13" x14ac:dyDescent="0.2">
      <c r="A38" t="s">
        <v>46</v>
      </c>
      <c r="B38" t="s">
        <v>12</v>
      </c>
      <c r="C38" s="1">
        <v>4.0299999999999997E-5</v>
      </c>
      <c r="D38">
        <v>6.3009999999999997E-4</v>
      </c>
      <c r="E38">
        <v>6.7040000000000003E-4</v>
      </c>
      <c r="F38">
        <v>-1.9068151766878001</v>
      </c>
      <c r="G38">
        <v>0.24172661060273201</v>
      </c>
      <c r="H38">
        <v>50</v>
      </c>
      <c r="J38">
        <v>-1.9069767441860399</v>
      </c>
      <c r="L38">
        <f t="shared" si="0"/>
        <v>1.6156749823981187E-4</v>
      </c>
      <c r="M38" t="b">
        <f t="shared" si="1"/>
        <v>1</v>
      </c>
    </row>
    <row r="39" spans="1:13" x14ac:dyDescent="0.2">
      <c r="A39" t="s">
        <v>47</v>
      </c>
      <c r="B39" t="s">
        <v>12</v>
      </c>
      <c r="C39" s="1">
        <v>2.5999999999999998E-5</v>
      </c>
      <c r="D39">
        <v>4.771E-4</v>
      </c>
      <c r="E39">
        <v>5.0310000000000003E-4</v>
      </c>
      <c r="F39">
        <v>-4.6972106287719004</v>
      </c>
      <c r="G39" s="1">
        <v>4.5482601167806097E-5</v>
      </c>
      <c r="H39">
        <v>50</v>
      </c>
      <c r="J39">
        <v>-4.6818181757924604</v>
      </c>
      <c r="L39">
        <f t="shared" si="0"/>
        <v>-1.539245297944003E-2</v>
      </c>
      <c r="M39" t="b">
        <f t="shared" si="1"/>
        <v>1</v>
      </c>
    </row>
    <row r="40" spans="1:13" x14ac:dyDescent="0.2">
      <c r="A40" t="s">
        <v>48</v>
      </c>
      <c r="B40" t="s">
        <v>12</v>
      </c>
      <c r="C40">
        <v>3.7215999999999998E-3</v>
      </c>
      <c r="D40">
        <v>0.27327780000000002</v>
      </c>
      <c r="E40">
        <v>0.27699940000000001</v>
      </c>
      <c r="F40">
        <v>34824503.619118497</v>
      </c>
      <c r="G40">
        <v>23.540539046248899</v>
      </c>
      <c r="H40">
        <v>50</v>
      </c>
      <c r="J40">
        <v>34824463.965946399</v>
      </c>
      <c r="L40">
        <f t="shared" si="0"/>
        <v>39.653172098100185</v>
      </c>
      <c r="M40" t="b">
        <f t="shared" si="1"/>
        <v>0</v>
      </c>
    </row>
    <row r="41" spans="1:13" x14ac:dyDescent="0.2">
      <c r="A41" t="s">
        <v>49</v>
      </c>
      <c r="B41" t="s">
        <v>12</v>
      </c>
      <c r="C41">
        <v>6.6223000000000002E-3</v>
      </c>
      <c r="D41">
        <v>0.43885849999999998</v>
      </c>
      <c r="E41">
        <v>0.44548080000000001</v>
      </c>
      <c r="F41">
        <v>348244638304.06403</v>
      </c>
      <c r="G41">
        <v>1.9893432531191001E-4</v>
      </c>
      <c r="H41">
        <v>50</v>
      </c>
      <c r="J41">
        <v>348244654956.82599</v>
      </c>
      <c r="L41">
        <f t="shared" si="0"/>
        <v>-16652.761962890625</v>
      </c>
      <c r="M41" t="b">
        <f t="shared" si="1"/>
        <v>1</v>
      </c>
    </row>
    <row r="42" spans="1:13" x14ac:dyDescent="0.2">
      <c r="A42" t="s">
        <v>50</v>
      </c>
      <c r="B42" t="s">
        <v>12</v>
      </c>
      <c r="C42">
        <v>1.2745E-3</v>
      </c>
      <c r="D42">
        <v>0.13785030000000001</v>
      </c>
      <c r="E42">
        <v>0.13912479999999999</v>
      </c>
      <c r="F42">
        <v>1.3819577004267101</v>
      </c>
      <c r="G42">
        <v>1.27740602188694E-2</v>
      </c>
      <c r="H42">
        <v>50</v>
      </c>
      <c r="J42">
        <v>0.57579794269517104</v>
      </c>
      <c r="L42">
        <f t="shared" si="0"/>
        <v>0.80615975773153903</v>
      </c>
      <c r="M42" t="b">
        <f t="shared" si="1"/>
        <v>1</v>
      </c>
    </row>
    <row r="43" spans="1:13" x14ac:dyDescent="0.2">
      <c r="A43" t="s">
        <v>51</v>
      </c>
      <c r="B43" t="s">
        <v>12</v>
      </c>
      <c r="C43">
        <v>9.4812999999999998E-3</v>
      </c>
      <c r="D43">
        <v>0.27864879999999997</v>
      </c>
      <c r="E43">
        <v>0.2881301</v>
      </c>
      <c r="F43">
        <v>-2501.8187134721202</v>
      </c>
      <c r="G43">
        <v>1.1217460706187501</v>
      </c>
      <c r="H43">
        <v>50</v>
      </c>
      <c r="L43">
        <f t="shared" si="0"/>
        <v>-2501.8187134721202</v>
      </c>
      <c r="M43" t="b">
        <f t="shared" si="1"/>
        <v>1</v>
      </c>
    </row>
    <row r="44" spans="1:13" x14ac:dyDescent="0.2">
      <c r="A44" t="s">
        <v>52</v>
      </c>
      <c r="B44" t="s">
        <v>12</v>
      </c>
      <c r="C44">
        <v>8.0102000000000003E-3</v>
      </c>
      <c r="D44">
        <v>0.24739230000000001</v>
      </c>
      <c r="E44">
        <v>0.25540249999999998</v>
      </c>
      <c r="F44">
        <v>-2502.3586616447801</v>
      </c>
      <c r="G44">
        <v>1.1217373829260899</v>
      </c>
      <c r="H44">
        <v>50</v>
      </c>
      <c r="L44">
        <f t="shared" si="0"/>
        <v>-2502.3586616447801</v>
      </c>
      <c r="M44" t="b">
        <f t="shared" si="1"/>
        <v>1</v>
      </c>
    </row>
    <row r="45" spans="1:13" x14ac:dyDescent="0.2">
      <c r="A45" t="s">
        <v>53</v>
      </c>
      <c r="B45" t="s">
        <v>12</v>
      </c>
      <c r="C45">
        <v>7.3033000000000004E-3</v>
      </c>
      <c r="D45">
        <v>0.2160569</v>
      </c>
      <c r="E45">
        <v>0.22336020000000001</v>
      </c>
      <c r="F45">
        <v>-2502.1611854541902</v>
      </c>
      <c r="G45">
        <v>1.12173736336644</v>
      </c>
      <c r="H45">
        <v>50</v>
      </c>
      <c r="L45">
        <f t="shared" si="0"/>
        <v>-2502.1611854541902</v>
      </c>
      <c r="M45" t="b">
        <f t="shared" si="1"/>
        <v>1</v>
      </c>
    </row>
    <row r="46" spans="1:13" x14ac:dyDescent="0.2">
      <c r="A46" t="s">
        <v>54</v>
      </c>
      <c r="B46" t="s">
        <v>12</v>
      </c>
      <c r="C46">
        <v>7.1098999999999997E-3</v>
      </c>
      <c r="D46">
        <v>0.23519880000000001</v>
      </c>
      <c r="E46">
        <v>0.24230869999999999</v>
      </c>
      <c r="F46">
        <v>-2502.1614623916298</v>
      </c>
      <c r="G46">
        <v>1.1217373721971799</v>
      </c>
      <c r="H46">
        <v>50</v>
      </c>
      <c r="L46">
        <f t="shared" si="0"/>
        <v>-2502.1614623916298</v>
      </c>
      <c r="M46" t="b">
        <f t="shared" si="1"/>
        <v>1</v>
      </c>
    </row>
    <row r="47" spans="1:13" x14ac:dyDescent="0.2">
      <c r="A47" t="s">
        <v>55</v>
      </c>
      <c r="B47" t="s">
        <v>12</v>
      </c>
      <c r="C47">
        <v>5.5164999999999997E-3</v>
      </c>
      <c r="D47">
        <v>0.22601470000000001</v>
      </c>
      <c r="E47">
        <v>0.23153119999999999</v>
      </c>
      <c r="F47">
        <v>-1668.4031489634899</v>
      </c>
      <c r="G47">
        <v>1.1217373924425</v>
      </c>
      <c r="H47">
        <v>50</v>
      </c>
      <c r="J47">
        <v>-1666.9920471637699</v>
      </c>
      <c r="L47">
        <f t="shared" si="0"/>
        <v>-1.4111017997199724</v>
      </c>
      <c r="M47" t="b">
        <f t="shared" si="1"/>
        <v>1</v>
      </c>
    </row>
    <row r="48" spans="1:13" x14ac:dyDescent="0.2">
      <c r="A48" t="s">
        <v>56</v>
      </c>
      <c r="B48" t="s">
        <v>12</v>
      </c>
      <c r="C48">
        <v>6.6413000000000002E-3</v>
      </c>
      <c r="D48">
        <v>0.23152639999999999</v>
      </c>
      <c r="E48">
        <v>0.23816770000000001</v>
      </c>
      <c r="F48">
        <v>-1001.66984624654</v>
      </c>
      <c r="G48">
        <v>1.12173687566767</v>
      </c>
      <c r="H48">
        <v>50</v>
      </c>
      <c r="J48">
        <v>-1000.25877080364</v>
      </c>
      <c r="L48">
        <f t="shared" si="0"/>
        <v>-1.4110754429000281</v>
      </c>
      <c r="M48" t="b">
        <f t="shared" si="1"/>
        <v>1</v>
      </c>
    </row>
    <row r="49" spans="1:13" x14ac:dyDescent="0.2">
      <c r="A49" t="s">
        <v>57</v>
      </c>
      <c r="B49" t="s">
        <v>12</v>
      </c>
      <c r="C49">
        <v>7.3346000000000001E-3</v>
      </c>
      <c r="D49">
        <v>0.2209622</v>
      </c>
      <c r="E49">
        <v>0.22829679999999999</v>
      </c>
      <c r="F49">
        <v>-715.92695065990995</v>
      </c>
      <c r="G49">
        <v>1.1217366177922199</v>
      </c>
      <c r="H49">
        <v>50</v>
      </c>
      <c r="J49">
        <v>-714.51588908749795</v>
      </c>
      <c r="L49">
        <f t="shared" si="0"/>
        <v>-1.4110615724119953</v>
      </c>
      <c r="M49" t="b">
        <f t="shared" si="1"/>
        <v>1</v>
      </c>
    </row>
    <row r="50" spans="1:13" x14ac:dyDescent="0.2">
      <c r="A50" t="s">
        <v>58</v>
      </c>
      <c r="B50" t="s">
        <v>12</v>
      </c>
      <c r="C50">
        <v>7.8408000000000002E-3</v>
      </c>
      <c r="D50">
        <v>0.21768290000000001</v>
      </c>
      <c r="E50">
        <v>0.22552369999999999</v>
      </c>
      <c r="F50">
        <v>-15977.576819861501</v>
      </c>
      <c r="G50">
        <v>1.12173690541218</v>
      </c>
      <c r="H50">
        <v>50</v>
      </c>
      <c r="J50">
        <v>-15976.165765643</v>
      </c>
      <c r="L50">
        <f t="shared" si="0"/>
        <v>-1.4110542185007944</v>
      </c>
      <c r="M50" t="b">
        <f t="shared" si="1"/>
        <v>1</v>
      </c>
    </row>
    <row r="51" spans="1:13" x14ac:dyDescent="0.2">
      <c r="A51" t="s">
        <v>59</v>
      </c>
      <c r="B51" t="s">
        <v>12</v>
      </c>
      <c r="C51">
        <v>6.1674E-3</v>
      </c>
      <c r="D51">
        <v>0.2006734</v>
      </c>
      <c r="E51">
        <v>0.20684079999999999</v>
      </c>
      <c r="F51">
        <v>-2163.6353764147598</v>
      </c>
      <c r="G51">
        <v>1.12173721007334</v>
      </c>
      <c r="H51">
        <v>50</v>
      </c>
      <c r="J51">
        <v>-2162.2242848399001</v>
      </c>
      <c r="L51">
        <f t="shared" si="0"/>
        <v>-1.4110915748597108</v>
      </c>
      <c r="M51" t="b">
        <f t="shared" si="1"/>
        <v>1</v>
      </c>
    </row>
    <row r="52" spans="1:13" x14ac:dyDescent="0.2">
      <c r="A52" t="s">
        <v>60</v>
      </c>
      <c r="B52" t="s">
        <v>12</v>
      </c>
      <c r="C52">
        <v>6.6474999999999998E-3</v>
      </c>
      <c r="D52">
        <v>0.20712149999999999</v>
      </c>
      <c r="E52">
        <v>0.21376899999999999</v>
      </c>
      <c r="F52">
        <v>-2501.6683284626401</v>
      </c>
      <c r="G52">
        <v>1.12173898078755</v>
      </c>
      <c r="H52">
        <v>50</v>
      </c>
      <c r="J52">
        <v>-2500.25719616178</v>
      </c>
      <c r="L52">
        <f t="shared" si="0"/>
        <v>-1.4111323008601175</v>
      </c>
      <c r="M52" t="b">
        <f t="shared" si="1"/>
        <v>1</v>
      </c>
    </row>
    <row r="53" spans="1:13" x14ac:dyDescent="0.2">
      <c r="A53" t="s">
        <v>61</v>
      </c>
      <c r="B53" t="s">
        <v>12</v>
      </c>
      <c r="C53">
        <v>5.3772999999999998E-3</v>
      </c>
      <c r="D53">
        <v>0.20338580000000001</v>
      </c>
      <c r="E53">
        <v>0.20876310000000001</v>
      </c>
      <c r="F53">
        <v>-2501.6682417594102</v>
      </c>
      <c r="G53">
        <v>1.1217373785151901</v>
      </c>
      <c r="H53">
        <v>50</v>
      </c>
      <c r="L53">
        <f t="shared" si="0"/>
        <v>-2501.6682417594102</v>
      </c>
      <c r="M53" t="b">
        <f t="shared" si="1"/>
        <v>1</v>
      </c>
    </row>
    <row r="54" spans="1:13" x14ac:dyDescent="0.2">
      <c r="A54" t="s">
        <v>62</v>
      </c>
      <c r="B54" t="s">
        <v>12</v>
      </c>
      <c r="C54">
        <v>6.6647E-3</v>
      </c>
      <c r="D54">
        <v>0.20344390000000001</v>
      </c>
      <c r="E54">
        <v>0.21010860000000001</v>
      </c>
      <c r="F54">
        <v>-2501.6682850728098</v>
      </c>
      <c r="G54">
        <v>1.1217373962586401</v>
      </c>
      <c r="H54">
        <v>50</v>
      </c>
      <c r="L54">
        <f t="shared" si="0"/>
        <v>-2501.6682850728098</v>
      </c>
      <c r="M54" t="b">
        <f t="shared" si="1"/>
        <v>1</v>
      </c>
    </row>
    <row r="55" spans="1:13" x14ac:dyDescent="0.2">
      <c r="A55" t="s">
        <v>63</v>
      </c>
      <c r="B55" t="s">
        <v>12</v>
      </c>
      <c r="C55" s="1">
        <v>4.7599999999999998E-5</v>
      </c>
      <c r="D55">
        <v>9.391E-4</v>
      </c>
      <c r="E55">
        <v>9.8670000000000008E-4</v>
      </c>
      <c r="F55">
        <v>2397.9218670458599</v>
      </c>
      <c r="G55" s="1">
        <v>4.1473322203137598E-5</v>
      </c>
      <c r="H55">
        <v>50</v>
      </c>
      <c r="J55">
        <v>2398.4158961385101</v>
      </c>
      <c r="L55">
        <f t="shared" si="0"/>
        <v>-0.49402909265018025</v>
      </c>
      <c r="M55" t="b">
        <f t="shared" si="1"/>
        <v>1</v>
      </c>
    </row>
    <row r="56" spans="1:13" x14ac:dyDescent="0.2">
      <c r="A56" t="s">
        <v>64</v>
      </c>
      <c r="B56" t="s">
        <v>12</v>
      </c>
      <c r="C56">
        <v>1.9802000000000001E-3</v>
      </c>
      <c r="D56">
        <v>8.7233500000000005E-2</v>
      </c>
      <c r="E56">
        <v>8.9213700000000007E-2</v>
      </c>
      <c r="F56">
        <v>-863.79515441838896</v>
      </c>
      <c r="G56">
        <v>1.03838812732616E-2</v>
      </c>
      <c r="H56">
        <v>50</v>
      </c>
      <c r="J56">
        <v>-952.87544082940406</v>
      </c>
      <c r="L56">
        <f t="shared" si="0"/>
        <v>89.080286411015095</v>
      </c>
      <c r="M56" t="b">
        <f t="shared" si="1"/>
        <v>0</v>
      </c>
    </row>
    <row r="57" spans="1:13" x14ac:dyDescent="0.2">
      <c r="A57" t="s">
        <v>65</v>
      </c>
      <c r="B57" t="s">
        <v>12</v>
      </c>
      <c r="C57">
        <v>1.3898999999999999E-3</v>
      </c>
      <c r="D57">
        <v>5.9235099999999999E-2</v>
      </c>
      <c r="E57">
        <v>6.0624999999999998E-2</v>
      </c>
      <c r="F57">
        <v>-1598.1842670933299</v>
      </c>
      <c r="G57" s="1">
        <v>6.3949342318403801E-5</v>
      </c>
      <c r="H57">
        <v>50</v>
      </c>
      <c r="J57">
        <v>-1597.4820710987999</v>
      </c>
      <c r="L57">
        <f t="shared" si="0"/>
        <v>-0.70219599453002957</v>
      </c>
      <c r="M57" t="b">
        <f t="shared" si="1"/>
        <v>1</v>
      </c>
    </row>
    <row r="58" spans="1:13" x14ac:dyDescent="0.2">
      <c r="A58" t="s">
        <v>66</v>
      </c>
      <c r="B58" t="s">
        <v>12</v>
      </c>
      <c r="C58">
        <v>4.8570000000000002E-3</v>
      </c>
      <c r="D58">
        <v>0.18465899999999999</v>
      </c>
      <c r="E58">
        <v>0.18951599999999999</v>
      </c>
      <c r="F58">
        <v>42544695719.321198</v>
      </c>
      <c r="G58" s="2">
        <v>118670.622284728</v>
      </c>
      <c r="H58">
        <v>50</v>
      </c>
      <c r="J58">
        <v>52089559822.283997</v>
      </c>
      <c r="L58">
        <f t="shared" si="0"/>
        <v>-9544864102.9627991</v>
      </c>
      <c r="M58" t="b">
        <f t="shared" si="1"/>
        <v>1</v>
      </c>
    </row>
    <row r="59" spans="1:13" x14ac:dyDescent="0.2">
      <c r="A59" t="s">
        <v>67</v>
      </c>
      <c r="B59" t="s">
        <v>12</v>
      </c>
      <c r="C59">
        <v>1.9368E-3</v>
      </c>
      <c r="D59">
        <v>3.6707299999999998E-2</v>
      </c>
      <c r="E59">
        <v>3.8644100000000001E-2</v>
      </c>
      <c r="F59">
        <v>5.3552700156007403E-2</v>
      </c>
      <c r="G59">
        <v>2.7979499081454999E-3</v>
      </c>
      <c r="H59">
        <v>50</v>
      </c>
      <c r="J59">
        <v>-3.5012888860091199E-2</v>
      </c>
      <c r="L59">
        <f t="shared" si="0"/>
        <v>8.8565589016098595E-2</v>
      </c>
      <c r="M59" t="b">
        <f t="shared" si="1"/>
        <v>1</v>
      </c>
    </row>
    <row r="60" spans="1:13" x14ac:dyDescent="0.2">
      <c r="A60" t="s">
        <v>68</v>
      </c>
      <c r="B60" t="s">
        <v>12</v>
      </c>
      <c r="C60">
        <v>2.8755999999999999E-3</v>
      </c>
      <c r="D60">
        <v>5.2865700000000002E-2</v>
      </c>
      <c r="E60">
        <v>5.5741300000000001E-2</v>
      </c>
      <c r="F60">
        <v>8.8520535718902296E-2</v>
      </c>
      <c r="G60">
        <v>4.6606103377960896E-3</v>
      </c>
      <c r="H60">
        <v>50</v>
      </c>
      <c r="J60">
        <v>-3.3733663833219303E-2</v>
      </c>
      <c r="L60">
        <f t="shared" si="0"/>
        <v>0.12225419955212161</v>
      </c>
      <c r="M60" t="b">
        <f t="shared" si="1"/>
        <v>1</v>
      </c>
    </row>
    <row r="61" spans="1:13" x14ac:dyDescent="0.2">
      <c r="A61" t="s">
        <v>69</v>
      </c>
      <c r="B61" t="s">
        <v>12</v>
      </c>
      <c r="C61">
        <v>1.52547E-2</v>
      </c>
      <c r="D61">
        <v>0.14843200000000001</v>
      </c>
      <c r="E61">
        <v>0.16368669999999999</v>
      </c>
      <c r="F61">
        <v>0.125274771738905</v>
      </c>
      <c r="G61">
        <v>1.13161929703312E-2</v>
      </c>
      <c r="H61">
        <v>50</v>
      </c>
      <c r="J61">
        <v>-0.135755798291924</v>
      </c>
      <c r="L61">
        <f t="shared" si="0"/>
        <v>0.26103057003082897</v>
      </c>
      <c r="M61" t="b">
        <f t="shared" si="1"/>
        <v>1</v>
      </c>
    </row>
    <row r="62" spans="1:13" x14ac:dyDescent="0.2">
      <c r="A62" t="s">
        <v>70</v>
      </c>
      <c r="B62" t="s">
        <v>12</v>
      </c>
      <c r="C62">
        <v>1.18736E-2</v>
      </c>
      <c r="D62">
        <v>8.7978399999999998E-2</v>
      </c>
      <c r="E62">
        <v>9.9851999999999996E-2</v>
      </c>
      <c r="F62">
        <v>-0.61741849957260497</v>
      </c>
      <c r="G62">
        <v>1.2165992986057201E-3</v>
      </c>
      <c r="H62">
        <v>50</v>
      </c>
      <c r="J62">
        <v>-0.74609075559554805</v>
      </c>
      <c r="L62">
        <f t="shared" si="0"/>
        <v>0.12867225602294308</v>
      </c>
      <c r="M62" t="b">
        <f t="shared" si="1"/>
        <v>1</v>
      </c>
    </row>
    <row r="63" spans="1:13" x14ac:dyDescent="0.2">
      <c r="A63" t="s">
        <v>71</v>
      </c>
      <c r="B63" t="s">
        <v>12</v>
      </c>
      <c r="C63">
        <v>1.94E-4</v>
      </c>
      <c r="D63">
        <v>1.62595E-2</v>
      </c>
      <c r="E63">
        <v>1.6453499999999999E-2</v>
      </c>
      <c r="F63">
        <v>2062004.6535942601</v>
      </c>
      <c r="G63" s="2">
        <v>549344.93731429602</v>
      </c>
      <c r="H63">
        <v>50</v>
      </c>
      <c r="J63">
        <v>-6155.2507920409898</v>
      </c>
      <c r="L63">
        <f t="shared" si="0"/>
        <v>2068159.9043863011</v>
      </c>
      <c r="M63" t="b">
        <f t="shared" si="1"/>
        <v>0</v>
      </c>
    </row>
    <row r="64" spans="1:13" x14ac:dyDescent="0.2">
      <c r="A64" t="s">
        <v>72</v>
      </c>
      <c r="B64" t="s">
        <v>12</v>
      </c>
      <c r="C64">
        <v>1.393E-4</v>
      </c>
      <c r="D64">
        <v>1.34264E-2</v>
      </c>
      <c r="E64">
        <v>1.35657E-2</v>
      </c>
      <c r="F64">
        <v>60776.592919362898</v>
      </c>
      <c r="G64" s="2">
        <v>24598.141203762701</v>
      </c>
      <c r="H64">
        <v>50</v>
      </c>
      <c r="J64">
        <v>-3551.3074919579599</v>
      </c>
      <c r="L64">
        <f t="shared" si="0"/>
        <v>64327.900411320858</v>
      </c>
      <c r="M64" t="b">
        <f t="shared" si="1"/>
        <v>0</v>
      </c>
    </row>
    <row r="65" spans="1:13" x14ac:dyDescent="0.2">
      <c r="A65" t="s">
        <v>73</v>
      </c>
      <c r="B65" t="s">
        <v>12</v>
      </c>
      <c r="C65">
        <v>2.065E-4</v>
      </c>
      <c r="D65">
        <v>1.6706599999999999E-2</v>
      </c>
      <c r="E65">
        <v>1.69131E-2</v>
      </c>
      <c r="F65">
        <v>-30.861423474565601</v>
      </c>
      <c r="G65">
        <v>39.047596208940803</v>
      </c>
      <c r="H65">
        <v>50</v>
      </c>
      <c r="J65">
        <v>-427.23232654515198</v>
      </c>
      <c r="L65">
        <f t="shared" si="0"/>
        <v>396.37090307058639</v>
      </c>
      <c r="M65" t="b">
        <f t="shared" si="1"/>
        <v>0</v>
      </c>
    </row>
    <row r="66" spans="1:13" x14ac:dyDescent="0.2">
      <c r="A66" t="s">
        <v>74</v>
      </c>
      <c r="B66" t="s">
        <v>12</v>
      </c>
      <c r="C66">
        <v>5.2209999999999995E-4</v>
      </c>
      <c r="D66">
        <v>3.6418499999999999E-2</v>
      </c>
      <c r="E66">
        <v>3.6940599999999997E-2</v>
      </c>
      <c r="F66">
        <v>124.154080528234</v>
      </c>
      <c r="G66">
        <v>95.157987613402497</v>
      </c>
      <c r="H66">
        <v>50</v>
      </c>
      <c r="J66">
        <v>-18309.429765876899</v>
      </c>
      <c r="L66">
        <f t="shared" si="0"/>
        <v>18433.583846405134</v>
      </c>
      <c r="M66" t="b">
        <f t="shared" si="1"/>
        <v>0</v>
      </c>
    </row>
    <row r="67" spans="1:13" x14ac:dyDescent="0.2">
      <c r="A67" t="s">
        <v>75</v>
      </c>
      <c r="B67" t="s">
        <v>12</v>
      </c>
      <c r="C67">
        <v>8.72835E-2</v>
      </c>
      <c r="D67">
        <v>0.96642819999999996</v>
      </c>
      <c r="E67">
        <v>1.0537117</v>
      </c>
      <c r="F67">
        <v>1922005.59832248</v>
      </c>
      <c r="G67" s="2">
        <v>1068599.2093376101</v>
      </c>
      <c r="H67">
        <v>50</v>
      </c>
      <c r="J67">
        <v>13744447.993186001</v>
      </c>
      <c r="L67">
        <f t="shared" ref="L67:L123" si="2">F67-J67</f>
        <v>-11822442.39486352</v>
      </c>
      <c r="M67" t="b">
        <f t="shared" ref="M67:M123" si="3">L67&lt;5</f>
        <v>1</v>
      </c>
    </row>
    <row r="68" spans="1:13" x14ac:dyDescent="0.2">
      <c r="A68" t="s">
        <v>76</v>
      </c>
      <c r="B68" t="s">
        <v>12</v>
      </c>
      <c r="C68">
        <v>3.2309999999999999E-4</v>
      </c>
      <c r="D68">
        <v>4.2674999999999996E-3</v>
      </c>
      <c r="E68">
        <v>4.5906000000000002E-3</v>
      </c>
      <c r="F68">
        <v>373791.30479215097</v>
      </c>
      <c r="G68" s="2">
        <v>118123805.34390999</v>
      </c>
      <c r="H68">
        <v>50</v>
      </c>
      <c r="J68">
        <v>480318.86568490299</v>
      </c>
      <c r="L68">
        <f t="shared" si="2"/>
        <v>-106527.56089275202</v>
      </c>
      <c r="M68" t="b">
        <f t="shared" si="3"/>
        <v>1</v>
      </c>
    </row>
    <row r="69" spans="1:13" x14ac:dyDescent="0.2">
      <c r="A69" t="s">
        <v>77</v>
      </c>
      <c r="B69" t="s">
        <v>9</v>
      </c>
      <c r="C69">
        <v>1.3909999999999999E-4</v>
      </c>
      <c r="D69">
        <v>6.2520000000000002E-4</v>
      </c>
      <c r="E69">
        <v>7.6429999999999998E-4</v>
      </c>
      <c r="F69">
        <v>-1.5926226367438201</v>
      </c>
      <c r="G69" s="1">
        <v>5.46925641236478E-6</v>
      </c>
      <c r="H69">
        <v>21</v>
      </c>
      <c r="J69">
        <v>-1.59078179237203</v>
      </c>
      <c r="L69">
        <f t="shared" si="2"/>
        <v>-1.8408443717901068E-3</v>
      </c>
      <c r="M69" t="b">
        <f t="shared" si="3"/>
        <v>1</v>
      </c>
    </row>
    <row r="70" spans="1:13" x14ac:dyDescent="0.2">
      <c r="A70" t="s">
        <v>78</v>
      </c>
      <c r="B70" t="s">
        <v>12</v>
      </c>
      <c r="C70">
        <v>1.4934E-3</v>
      </c>
      <c r="D70">
        <v>2.66272E-2</v>
      </c>
      <c r="E70">
        <v>2.8120599999999999E-2</v>
      </c>
      <c r="F70">
        <v>16163.3413028951</v>
      </c>
      <c r="G70" s="2">
        <v>321.45792558859199</v>
      </c>
      <c r="H70">
        <v>50</v>
      </c>
      <c r="J70">
        <v>16352.3424654098</v>
      </c>
      <c r="L70">
        <f t="shared" si="2"/>
        <v>-189.0011625146999</v>
      </c>
      <c r="M70" t="b">
        <f t="shared" si="3"/>
        <v>1</v>
      </c>
    </row>
    <row r="71" spans="1:13" x14ac:dyDescent="0.2">
      <c r="A71" t="s">
        <v>79</v>
      </c>
      <c r="B71" t="s">
        <v>12</v>
      </c>
      <c r="C71">
        <v>1.0215000000000001E-3</v>
      </c>
      <c r="D71">
        <v>2.5405199999999999E-2</v>
      </c>
      <c r="E71">
        <v>2.6426700000000001E-2</v>
      </c>
      <c r="F71">
        <v>154059.555779824</v>
      </c>
      <c r="G71" s="2">
        <v>55741.822710041597</v>
      </c>
      <c r="H71">
        <v>50</v>
      </c>
      <c r="J71">
        <v>164712.06454000901</v>
      </c>
      <c r="L71">
        <f t="shared" si="2"/>
        <v>-10652.50876018501</v>
      </c>
      <c r="M71" t="b">
        <f t="shared" si="3"/>
        <v>1</v>
      </c>
    </row>
    <row r="72" spans="1:13" x14ac:dyDescent="0.2">
      <c r="A72" t="s">
        <v>80</v>
      </c>
      <c r="B72" t="s">
        <v>12</v>
      </c>
      <c r="C72">
        <v>6.6419999999999999E-4</v>
      </c>
      <c r="D72">
        <v>1.9233799999999999E-2</v>
      </c>
      <c r="E72">
        <v>1.9897999999999999E-2</v>
      </c>
      <c r="F72">
        <v>737.736853243273</v>
      </c>
      <c r="G72" s="2">
        <v>27492635.610041399</v>
      </c>
      <c r="H72">
        <v>50</v>
      </c>
      <c r="J72">
        <v>3100.2008025514001</v>
      </c>
      <c r="L72">
        <f t="shared" si="2"/>
        <v>-2362.4639493081272</v>
      </c>
      <c r="M72" t="b">
        <f t="shared" si="3"/>
        <v>1</v>
      </c>
    </row>
    <row r="73" spans="1:13" x14ac:dyDescent="0.2">
      <c r="A73" t="s">
        <v>81</v>
      </c>
      <c r="B73" t="s">
        <v>12</v>
      </c>
      <c r="C73">
        <v>7.0719999999999995E-4</v>
      </c>
      <c r="D73">
        <v>2.1749299999999999E-2</v>
      </c>
      <c r="E73">
        <v>2.2456500000000001E-2</v>
      </c>
      <c r="F73">
        <v>11697.376114004799</v>
      </c>
      <c r="G73" s="2">
        <v>5545.4958516527004</v>
      </c>
      <c r="H73">
        <v>50</v>
      </c>
      <c r="J73">
        <v>28375.114888721298</v>
      </c>
      <c r="L73">
        <f t="shared" si="2"/>
        <v>-16677.738774716498</v>
      </c>
      <c r="M73" t="b">
        <f t="shared" si="3"/>
        <v>1</v>
      </c>
    </row>
    <row r="74" spans="1:13" x14ac:dyDescent="0.2">
      <c r="A74" t="s">
        <v>82</v>
      </c>
      <c r="B74" t="s">
        <v>12</v>
      </c>
      <c r="C74">
        <v>9.8430000000000002E-4</v>
      </c>
      <c r="D74">
        <v>3.45858E-2</v>
      </c>
      <c r="E74">
        <v>3.55701E-2</v>
      </c>
      <c r="F74">
        <v>22745495.985619899</v>
      </c>
      <c r="G74" s="2">
        <v>35889157020.887901</v>
      </c>
      <c r="H74">
        <v>50</v>
      </c>
      <c r="J74">
        <v>66775427.975982003</v>
      </c>
      <c r="L74">
        <f t="shared" si="2"/>
        <v>-44029931.990362108</v>
      </c>
      <c r="M74" t="b">
        <f t="shared" si="3"/>
        <v>1</v>
      </c>
    </row>
    <row r="75" spans="1:13" x14ac:dyDescent="0.2">
      <c r="A75" t="s">
        <v>83</v>
      </c>
      <c r="B75" t="s">
        <v>12</v>
      </c>
      <c r="C75">
        <v>8.9260000000000001E-4</v>
      </c>
      <c r="D75">
        <v>3.02527E-2</v>
      </c>
      <c r="E75">
        <v>3.1145300000000001E-2</v>
      </c>
      <c r="F75">
        <v>162.955927948111</v>
      </c>
      <c r="G75">
        <v>33.009686502241003</v>
      </c>
      <c r="H75">
        <v>50</v>
      </c>
      <c r="J75">
        <v>205.54043359107499</v>
      </c>
      <c r="L75">
        <f t="shared" si="2"/>
        <v>-42.58450564296399</v>
      </c>
      <c r="M75" t="b">
        <f t="shared" si="3"/>
        <v>1</v>
      </c>
    </row>
    <row r="76" spans="1:13" x14ac:dyDescent="0.2">
      <c r="A76" t="s">
        <v>84</v>
      </c>
      <c r="B76" t="s">
        <v>12</v>
      </c>
      <c r="C76">
        <v>2.5842999999999999E-3</v>
      </c>
      <c r="D76">
        <v>0.32701140000000001</v>
      </c>
      <c r="E76">
        <v>0.32959569999999999</v>
      </c>
      <c r="F76">
        <v>58323.440535843401</v>
      </c>
      <c r="G76" s="2">
        <v>9117.0171379375406</v>
      </c>
      <c r="H76">
        <v>50</v>
      </c>
      <c r="J76">
        <v>86760.369920896599</v>
      </c>
      <c r="L76">
        <f t="shared" si="2"/>
        <v>-28436.929385053198</v>
      </c>
      <c r="M76" t="b">
        <f t="shared" si="3"/>
        <v>1</v>
      </c>
    </row>
    <row r="77" spans="1:13" x14ac:dyDescent="0.2">
      <c r="A77" t="s">
        <v>85</v>
      </c>
      <c r="B77" t="s">
        <v>12</v>
      </c>
      <c r="C77">
        <v>2.4656000000000001E-3</v>
      </c>
      <c r="D77">
        <v>0.15213969999999999</v>
      </c>
      <c r="E77">
        <v>0.1546053</v>
      </c>
      <c r="F77">
        <v>81033651.987276495</v>
      </c>
      <c r="G77" s="2">
        <v>1446722317234.22</v>
      </c>
      <c r="H77">
        <v>50</v>
      </c>
      <c r="J77">
        <v>873147.49013511604</v>
      </c>
      <c r="L77">
        <f t="shared" si="2"/>
        <v>80160504.497141376</v>
      </c>
      <c r="M77" t="b">
        <f t="shared" si="3"/>
        <v>0</v>
      </c>
    </row>
    <row r="78" spans="1:13" x14ac:dyDescent="0.2">
      <c r="A78" t="s">
        <v>86</v>
      </c>
      <c r="B78" t="s">
        <v>12</v>
      </c>
      <c r="C78">
        <v>2.8319999999999999E-3</v>
      </c>
      <c r="D78">
        <v>4.6534300000000001E-2</v>
      </c>
      <c r="E78">
        <v>4.9366300000000002E-2</v>
      </c>
      <c r="F78">
        <v>5117531614.5014496</v>
      </c>
      <c r="G78" s="2">
        <v>215923395864378</v>
      </c>
      <c r="H78">
        <v>50</v>
      </c>
      <c r="J78">
        <v>4722458893.5270901</v>
      </c>
      <c r="L78">
        <f t="shared" si="2"/>
        <v>395072720.97435951</v>
      </c>
      <c r="M78" t="b">
        <f t="shared" si="3"/>
        <v>0</v>
      </c>
    </row>
    <row r="79" spans="1:13" x14ac:dyDescent="0.2">
      <c r="A79" t="s">
        <v>87</v>
      </c>
      <c r="B79" t="s">
        <v>12</v>
      </c>
      <c r="C79">
        <v>1.8787000000000001E-3</v>
      </c>
      <c r="D79">
        <v>4.8111399999999999E-2</v>
      </c>
      <c r="E79">
        <v>4.9990100000000003E-2</v>
      </c>
      <c r="F79">
        <v>25805851807.780201</v>
      </c>
      <c r="G79" s="2">
        <v>742952206277.94104</v>
      </c>
      <c r="H79">
        <v>50</v>
      </c>
      <c r="J79">
        <v>100790616453.705</v>
      </c>
      <c r="L79">
        <f t="shared" si="2"/>
        <v>-74984764645.924805</v>
      </c>
      <c r="M79" t="b">
        <f t="shared" si="3"/>
        <v>1</v>
      </c>
    </row>
    <row r="80" spans="1:13" x14ac:dyDescent="0.2">
      <c r="A80" t="s">
        <v>88</v>
      </c>
      <c r="B80" t="s">
        <v>12</v>
      </c>
      <c r="C80">
        <v>1.7581999999999999E-3</v>
      </c>
      <c r="D80">
        <v>6.4837400000000003E-2</v>
      </c>
      <c r="E80">
        <v>6.6595600000000005E-2</v>
      </c>
      <c r="F80">
        <v>33318251.212469701</v>
      </c>
      <c r="G80" s="3">
        <v>1.8005210249293299E+17</v>
      </c>
      <c r="H80">
        <v>50</v>
      </c>
      <c r="J80">
        <v>-101693637.97221801</v>
      </c>
      <c r="L80">
        <f t="shared" si="2"/>
        <v>135011889.1846877</v>
      </c>
      <c r="M80" t="b">
        <f t="shared" si="3"/>
        <v>0</v>
      </c>
    </row>
    <row r="81" spans="1:13" x14ac:dyDescent="0.2">
      <c r="A81" t="s">
        <v>89</v>
      </c>
      <c r="B81" t="s">
        <v>12</v>
      </c>
      <c r="C81">
        <v>2.2702E-3</v>
      </c>
      <c r="D81">
        <v>0.11648070000000001</v>
      </c>
      <c r="E81">
        <v>0.11875090000000001</v>
      </c>
      <c r="F81">
        <v>455392658.88646698</v>
      </c>
      <c r="G81" s="3">
        <v>1.34443283468342E+17</v>
      </c>
      <c r="H81">
        <v>50</v>
      </c>
      <c r="J81">
        <v>-149628952.70189199</v>
      </c>
      <c r="L81">
        <f t="shared" si="2"/>
        <v>605021611.588359</v>
      </c>
      <c r="M81" t="b">
        <f t="shared" si="3"/>
        <v>0</v>
      </c>
    </row>
    <row r="82" spans="1:13" x14ac:dyDescent="0.2">
      <c r="A82" t="s">
        <v>90</v>
      </c>
      <c r="B82" t="s">
        <v>12</v>
      </c>
      <c r="C82">
        <v>9.0019999999999998E-4</v>
      </c>
      <c r="D82">
        <v>3.5231499999999999E-2</v>
      </c>
      <c r="E82">
        <v>3.6131700000000003E-2</v>
      </c>
      <c r="F82">
        <v>738341076745.47595</v>
      </c>
      <c r="G82" s="3">
        <v>2.27125280529872E+17</v>
      </c>
      <c r="H82">
        <v>50</v>
      </c>
      <c r="J82">
        <v>-42798713.7128397</v>
      </c>
      <c r="L82">
        <f t="shared" si="2"/>
        <v>738383875459.18884</v>
      </c>
      <c r="M82" t="b">
        <f t="shared" si="3"/>
        <v>0</v>
      </c>
    </row>
    <row r="83" spans="1:13" x14ac:dyDescent="0.2">
      <c r="A83" t="s">
        <v>91</v>
      </c>
      <c r="B83" t="s">
        <v>12</v>
      </c>
      <c r="C83">
        <v>1.0016000000000001E-3</v>
      </c>
      <c r="D83">
        <v>3.1727100000000001E-2</v>
      </c>
      <c r="E83">
        <v>3.2728699999999999E-2</v>
      </c>
      <c r="F83">
        <v>39047715.298276402</v>
      </c>
      <c r="G83" s="2">
        <v>1263780444391.75</v>
      </c>
      <c r="H83">
        <v>50</v>
      </c>
      <c r="J83">
        <v>25347838.268805999</v>
      </c>
      <c r="L83">
        <f t="shared" si="2"/>
        <v>13699877.029470403</v>
      </c>
      <c r="M83" t="b">
        <f t="shared" si="3"/>
        <v>0</v>
      </c>
    </row>
    <row r="84" spans="1:13" x14ac:dyDescent="0.2">
      <c r="A84" t="s">
        <v>92</v>
      </c>
      <c r="B84" t="s">
        <v>12</v>
      </c>
      <c r="C84">
        <v>2.5670000000000001E-4</v>
      </c>
      <c r="D84">
        <v>8.0263000000000001E-3</v>
      </c>
      <c r="E84">
        <v>8.2830000000000004E-3</v>
      </c>
      <c r="F84">
        <v>0.77782187088488797</v>
      </c>
      <c r="G84">
        <v>0.94496231272914699</v>
      </c>
      <c r="H84">
        <v>50</v>
      </c>
      <c r="J84">
        <v>-7.8425401185858393E-3</v>
      </c>
      <c r="L84">
        <f t="shared" si="2"/>
        <v>0.78566441100347384</v>
      </c>
      <c r="M84" t="b">
        <f t="shared" si="3"/>
        <v>1</v>
      </c>
    </row>
    <row r="85" spans="1:13" x14ac:dyDescent="0.2">
      <c r="A85" t="s">
        <v>93</v>
      </c>
      <c r="B85" t="s">
        <v>12</v>
      </c>
      <c r="C85">
        <v>1.8438E-3</v>
      </c>
      <c r="D85">
        <v>4.33768E-2</v>
      </c>
      <c r="E85">
        <v>4.52206E-2</v>
      </c>
      <c r="F85">
        <v>4831048.4803870497</v>
      </c>
      <c r="G85" s="2">
        <v>48880888.210892998</v>
      </c>
      <c r="H85">
        <v>50</v>
      </c>
      <c r="J85">
        <v>11503914.3127979</v>
      </c>
      <c r="L85">
        <f t="shared" si="2"/>
        <v>-6672865.8324108506</v>
      </c>
      <c r="M85" t="b">
        <f t="shared" si="3"/>
        <v>1</v>
      </c>
    </row>
    <row r="86" spans="1:13" x14ac:dyDescent="0.2">
      <c r="A86" t="s">
        <v>94</v>
      </c>
      <c r="B86" t="s">
        <v>12</v>
      </c>
      <c r="C86">
        <v>4.5790000000000002E-4</v>
      </c>
      <c r="D86">
        <v>1.8469900000000001E-2</v>
      </c>
      <c r="E86">
        <v>1.8927800000000002E-2</v>
      </c>
      <c r="F86">
        <v>5453058.32081619</v>
      </c>
      <c r="G86" s="2">
        <v>1336855352.2083399</v>
      </c>
      <c r="H86">
        <v>50</v>
      </c>
      <c r="J86">
        <v>7462153.4589859601</v>
      </c>
      <c r="L86">
        <f t="shared" si="2"/>
        <v>-2009095.1381697701</v>
      </c>
      <c r="M86" t="b">
        <f t="shared" si="3"/>
        <v>1</v>
      </c>
    </row>
    <row r="87" spans="1:13" x14ac:dyDescent="0.2">
      <c r="A87" t="s">
        <v>95</v>
      </c>
      <c r="B87" t="s">
        <v>12</v>
      </c>
      <c r="C87">
        <v>1.0369999999999999E-3</v>
      </c>
      <c r="D87">
        <v>6.3295000000000004E-2</v>
      </c>
      <c r="E87">
        <v>6.4332E-2</v>
      </c>
      <c r="F87">
        <v>1781060.33152121</v>
      </c>
      <c r="G87" s="2">
        <v>400655041.12707299</v>
      </c>
      <c r="H87">
        <v>50</v>
      </c>
      <c r="J87">
        <v>6204387.5214995099</v>
      </c>
      <c r="L87">
        <f t="shared" si="2"/>
        <v>-4423327.1899782997</v>
      </c>
      <c r="M87" t="b">
        <f t="shared" si="3"/>
        <v>1</v>
      </c>
    </row>
    <row r="88" spans="1:13" x14ac:dyDescent="0.2">
      <c r="A88" t="s">
        <v>96</v>
      </c>
      <c r="B88" t="s">
        <v>12</v>
      </c>
      <c r="C88">
        <v>8.2421999999999999E-3</v>
      </c>
      <c r="D88">
        <v>0.60349750000000002</v>
      </c>
      <c r="E88">
        <v>0.6117397</v>
      </c>
      <c r="F88" t="s">
        <v>97</v>
      </c>
      <c r="G88" t="s">
        <v>97</v>
      </c>
      <c r="H88">
        <v>50</v>
      </c>
      <c r="J88">
        <v>4728371.1014551204</v>
      </c>
      <c r="L88" t="e">
        <f t="shared" si="2"/>
        <v>#VALUE!</v>
      </c>
      <c r="M88" t="e">
        <f t="shared" si="3"/>
        <v>#VALUE!</v>
      </c>
    </row>
    <row r="89" spans="1:13" x14ac:dyDescent="0.2">
      <c r="A89" t="s">
        <v>98</v>
      </c>
      <c r="B89" t="s">
        <v>12</v>
      </c>
      <c r="C89">
        <v>5.6720000000000002E-4</v>
      </c>
      <c r="D89">
        <v>1.3416300000000001E-2</v>
      </c>
      <c r="E89">
        <v>1.3983499999999999E-2</v>
      </c>
      <c r="F89">
        <v>-474.32053193632601</v>
      </c>
      <c r="G89" s="2">
        <v>3246090228.8348799</v>
      </c>
      <c r="H89">
        <v>50</v>
      </c>
      <c r="J89">
        <v>-266.61599524573501</v>
      </c>
      <c r="L89">
        <f t="shared" si="2"/>
        <v>-207.704536690591</v>
      </c>
      <c r="M89" t="b">
        <f t="shared" si="3"/>
        <v>1</v>
      </c>
    </row>
    <row r="90" spans="1:13" x14ac:dyDescent="0.2">
      <c r="A90" t="s">
        <v>99</v>
      </c>
      <c r="B90" t="s">
        <v>12</v>
      </c>
      <c r="C90">
        <v>8.9380000000000004E-4</v>
      </c>
      <c r="D90">
        <v>6.6030999999999998E-3</v>
      </c>
      <c r="E90">
        <v>7.4968999999999999E-3</v>
      </c>
      <c r="F90">
        <v>1.7441196765132401</v>
      </c>
      <c r="G90">
        <v>81.875245409078801</v>
      </c>
      <c r="H90">
        <v>50</v>
      </c>
      <c r="J90">
        <v>-5.81393928487024E-3</v>
      </c>
      <c r="L90">
        <f t="shared" si="2"/>
        <v>1.7499336157981102</v>
      </c>
      <c r="M90" t="b">
        <f t="shared" si="3"/>
        <v>1</v>
      </c>
    </row>
    <row r="91" spans="1:13" x14ac:dyDescent="0.2">
      <c r="A91" t="s">
        <v>100</v>
      </c>
      <c r="B91" t="s">
        <v>12</v>
      </c>
      <c r="C91">
        <v>1.0610000000000001E-3</v>
      </c>
      <c r="D91">
        <v>2.9370500000000001E-2</v>
      </c>
      <c r="E91">
        <v>3.04315E-2</v>
      </c>
      <c r="F91">
        <v>184833006.88352901</v>
      </c>
      <c r="G91" s="2">
        <v>190672198.93081301</v>
      </c>
      <c r="H91">
        <v>50</v>
      </c>
      <c r="J91">
        <v>201737938.51850301</v>
      </c>
      <c r="L91">
        <f t="shared" si="2"/>
        <v>-16904931.634974003</v>
      </c>
      <c r="M91" t="b">
        <f t="shared" si="3"/>
        <v>1</v>
      </c>
    </row>
    <row r="92" spans="1:13" x14ac:dyDescent="0.2">
      <c r="A92" t="s">
        <v>101</v>
      </c>
      <c r="B92" t="s">
        <v>12</v>
      </c>
      <c r="C92">
        <v>5.664E-4</v>
      </c>
      <c r="D92">
        <v>1.17752E-2</v>
      </c>
      <c r="E92">
        <v>1.2341599999999999E-2</v>
      </c>
      <c r="F92">
        <v>11934412.0453397</v>
      </c>
      <c r="G92" s="2">
        <v>55230698.202054501</v>
      </c>
      <c r="H92">
        <v>50</v>
      </c>
      <c r="J92">
        <v>26865949.298347399</v>
      </c>
      <c r="L92">
        <f t="shared" si="2"/>
        <v>-14931537.253007699</v>
      </c>
      <c r="M92" t="b">
        <f t="shared" si="3"/>
        <v>1</v>
      </c>
    </row>
    <row r="93" spans="1:13" x14ac:dyDescent="0.2">
      <c r="A93" t="s">
        <v>102</v>
      </c>
      <c r="B93" t="s">
        <v>12</v>
      </c>
      <c r="C93">
        <v>2.0669E-3</v>
      </c>
      <c r="D93">
        <v>5.0085200000000003E-2</v>
      </c>
      <c r="E93">
        <v>5.21521E-2</v>
      </c>
      <c r="F93">
        <v>131429.742144791</v>
      </c>
      <c r="G93" s="2">
        <v>1386470337.35974</v>
      </c>
      <c r="H93">
        <v>50</v>
      </c>
      <c r="J93">
        <v>16882691.8431377</v>
      </c>
      <c r="L93">
        <f t="shared" si="2"/>
        <v>-16751262.100992909</v>
      </c>
      <c r="M93" t="b">
        <f t="shared" si="3"/>
        <v>1</v>
      </c>
    </row>
    <row r="94" spans="1:13" x14ac:dyDescent="0.2">
      <c r="A94" t="s">
        <v>103</v>
      </c>
      <c r="B94" t="s">
        <v>12</v>
      </c>
      <c r="C94">
        <v>2.5414000000000001E-3</v>
      </c>
      <c r="D94">
        <v>0.1011054</v>
      </c>
      <c r="E94">
        <v>0.1036468</v>
      </c>
      <c r="F94">
        <v>348829.91356429999</v>
      </c>
      <c r="G94" s="2">
        <v>428164031.46775699</v>
      </c>
      <c r="H94">
        <v>50</v>
      </c>
      <c r="J94">
        <v>27776162.481726602</v>
      </c>
      <c r="L94">
        <f t="shared" si="2"/>
        <v>-27427332.568162303</v>
      </c>
      <c r="M94" t="b">
        <f t="shared" si="3"/>
        <v>1</v>
      </c>
    </row>
    <row r="95" spans="1:13" x14ac:dyDescent="0.2">
      <c r="A95" t="s">
        <v>104</v>
      </c>
      <c r="B95" t="s">
        <v>12</v>
      </c>
      <c r="C95">
        <v>3.9692E-3</v>
      </c>
      <c r="D95">
        <v>0.15262500000000001</v>
      </c>
      <c r="E95">
        <v>0.15659419999999999</v>
      </c>
      <c r="F95">
        <v>140935.34991696299</v>
      </c>
      <c r="G95" s="2">
        <v>21903973.496807501</v>
      </c>
      <c r="H95">
        <v>50</v>
      </c>
      <c r="J95">
        <v>30816355.604475301</v>
      </c>
      <c r="L95">
        <f t="shared" si="2"/>
        <v>-30675420.254558336</v>
      </c>
      <c r="M95" t="b">
        <f t="shared" si="3"/>
        <v>1</v>
      </c>
    </row>
    <row r="96" spans="1:13" x14ac:dyDescent="0.2">
      <c r="A96" t="s">
        <v>105</v>
      </c>
      <c r="B96" t="s">
        <v>12</v>
      </c>
      <c r="C96">
        <v>1.5625999999999999E-3</v>
      </c>
      <c r="D96">
        <v>2.4344299999999999E-2</v>
      </c>
      <c r="E96">
        <v>2.59069E-2</v>
      </c>
      <c r="F96">
        <v>606.31704793954805</v>
      </c>
      <c r="G96" s="2">
        <v>426840.181260121</v>
      </c>
      <c r="H96">
        <v>50</v>
      </c>
      <c r="J96">
        <v>1880.5095566524501</v>
      </c>
      <c r="L96">
        <f t="shared" si="2"/>
        <v>-1274.1925087129021</v>
      </c>
      <c r="M96" t="b">
        <f t="shared" si="3"/>
        <v>1</v>
      </c>
    </row>
    <row r="97" spans="1:13" x14ac:dyDescent="0.2">
      <c r="A97" t="s">
        <v>106</v>
      </c>
      <c r="B97" t="s">
        <v>12</v>
      </c>
      <c r="C97">
        <v>2.0035000000000001E-3</v>
      </c>
      <c r="D97">
        <v>3.8132600000000003E-2</v>
      </c>
      <c r="E97">
        <v>4.0136100000000001E-2</v>
      </c>
      <c r="F97">
        <v>647.62119602464497</v>
      </c>
      <c r="G97" s="2">
        <v>262.60818046257202</v>
      </c>
      <c r="H97">
        <v>50</v>
      </c>
      <c r="J97">
        <v>904.56001897179306</v>
      </c>
      <c r="L97">
        <f t="shared" si="2"/>
        <v>-256.93882294714808</v>
      </c>
      <c r="M97" t="b">
        <f t="shared" si="3"/>
        <v>1</v>
      </c>
    </row>
    <row r="98" spans="1:13" x14ac:dyDescent="0.2">
      <c r="A98" t="s">
        <v>107</v>
      </c>
      <c r="B98" t="s">
        <v>12</v>
      </c>
      <c r="C98">
        <v>1.2738000000000001E-3</v>
      </c>
      <c r="D98">
        <v>3.9190500000000003E-2</v>
      </c>
      <c r="E98">
        <v>4.0464300000000002E-2</v>
      </c>
      <c r="F98">
        <v>49.494754911958601</v>
      </c>
      <c r="G98" s="2">
        <v>107.860881948155</v>
      </c>
      <c r="H98">
        <v>50</v>
      </c>
      <c r="J98">
        <v>8.6666667740095598</v>
      </c>
      <c r="L98">
        <f t="shared" si="2"/>
        <v>40.828088137949038</v>
      </c>
      <c r="M98" t="b">
        <f t="shared" si="3"/>
        <v>0</v>
      </c>
    </row>
    <row r="99" spans="1:13" x14ac:dyDescent="0.2">
      <c r="A99" t="s">
        <v>108</v>
      </c>
      <c r="B99" t="s">
        <v>12</v>
      </c>
      <c r="C99">
        <v>2.4545999999999999E-3</v>
      </c>
      <c r="D99">
        <v>8.2197300000000001E-2</v>
      </c>
      <c r="E99">
        <v>8.4651900000000002E-2</v>
      </c>
      <c r="F99">
        <v>-579.65761277689001</v>
      </c>
      <c r="G99" s="2">
        <v>8274.1037214184307</v>
      </c>
      <c r="H99">
        <v>50</v>
      </c>
      <c r="J99">
        <v>50.808213976266103</v>
      </c>
      <c r="L99">
        <f t="shared" si="2"/>
        <v>-630.46582675315608</v>
      </c>
      <c r="M99" t="b">
        <f t="shared" si="3"/>
        <v>1</v>
      </c>
    </row>
    <row r="100" spans="1:13" x14ac:dyDescent="0.2">
      <c r="A100" t="s">
        <v>109</v>
      </c>
      <c r="B100" t="s">
        <v>12</v>
      </c>
      <c r="C100">
        <v>5.3690999999999999E-3</v>
      </c>
      <c r="D100">
        <v>0.1364918</v>
      </c>
      <c r="E100">
        <v>0.14186090000000001</v>
      </c>
      <c r="F100">
        <v>-16675.872129325799</v>
      </c>
      <c r="G100" s="2">
        <v>1056164.2082503999</v>
      </c>
      <c r="H100">
        <v>50</v>
      </c>
      <c r="J100">
        <v>940.76358907743804</v>
      </c>
      <c r="L100">
        <f t="shared" si="2"/>
        <v>-17616.635718403235</v>
      </c>
      <c r="M100" t="b">
        <f t="shared" si="3"/>
        <v>1</v>
      </c>
    </row>
    <row r="101" spans="1:13" x14ac:dyDescent="0.2">
      <c r="A101" t="s">
        <v>110</v>
      </c>
      <c r="B101" t="s">
        <v>12</v>
      </c>
      <c r="C101">
        <v>1.194E-3</v>
      </c>
      <c r="D101">
        <v>1.8835600000000001E-2</v>
      </c>
      <c r="E101">
        <v>2.0029600000000002E-2</v>
      </c>
      <c r="F101">
        <v>1141.68766552854</v>
      </c>
      <c r="G101">
        <v>60.151057107551701</v>
      </c>
      <c r="H101">
        <v>50</v>
      </c>
      <c r="J101" s="1">
        <v>1.9512488168032301E-8</v>
      </c>
      <c r="L101">
        <f t="shared" si="2"/>
        <v>1141.6876655090275</v>
      </c>
      <c r="M101" t="b">
        <f t="shared" si="3"/>
        <v>0</v>
      </c>
    </row>
    <row r="102" spans="1:13" x14ac:dyDescent="0.2">
      <c r="A102" t="s">
        <v>111</v>
      </c>
      <c r="B102" t="s">
        <v>12</v>
      </c>
      <c r="C102">
        <v>3.7111000000000002E-3</v>
      </c>
      <c r="D102">
        <v>8.9723700000000003E-2</v>
      </c>
      <c r="E102">
        <v>9.3434799999999998E-2</v>
      </c>
      <c r="F102">
        <v>1330.34423297638</v>
      </c>
      <c r="G102" s="2">
        <v>373.961663720231</v>
      </c>
      <c r="H102">
        <v>50</v>
      </c>
      <c r="J102" s="1">
        <v>7.5671955004951106E-8</v>
      </c>
      <c r="L102">
        <f t="shared" si="2"/>
        <v>1330.344232900708</v>
      </c>
      <c r="M102" t="b">
        <f t="shared" si="3"/>
        <v>0</v>
      </c>
    </row>
    <row r="103" spans="1:13" x14ac:dyDescent="0.2">
      <c r="A103" t="s">
        <v>112</v>
      </c>
      <c r="B103" t="s">
        <v>12</v>
      </c>
      <c r="C103">
        <v>5.5386000000000003E-3</v>
      </c>
      <c r="D103">
        <v>0.12733149999999999</v>
      </c>
      <c r="E103">
        <v>0.13287009999999999</v>
      </c>
      <c r="F103">
        <v>758.36985743847401</v>
      </c>
      <c r="G103" s="2">
        <v>1307.00006919976</v>
      </c>
      <c r="H103">
        <v>50</v>
      </c>
      <c r="J103" s="1">
        <v>1.4749943570333799E-8</v>
      </c>
      <c r="L103">
        <f t="shared" si="2"/>
        <v>758.36985742372406</v>
      </c>
      <c r="M103" t="b">
        <f t="shared" si="3"/>
        <v>0</v>
      </c>
    </row>
    <row r="104" spans="1:13" x14ac:dyDescent="0.2">
      <c r="A104" t="s">
        <v>113</v>
      </c>
      <c r="B104" t="s">
        <v>12</v>
      </c>
      <c r="C104">
        <v>2.3949000000000002E-3</v>
      </c>
      <c r="D104">
        <v>6.2132800000000002E-2</v>
      </c>
      <c r="E104">
        <v>6.4527699999999993E-2</v>
      </c>
      <c r="F104">
        <v>26917.496699492302</v>
      </c>
      <c r="G104" s="2">
        <v>243030420.737818</v>
      </c>
      <c r="H104">
        <v>50</v>
      </c>
      <c r="J104">
        <v>81481800.724670097</v>
      </c>
      <c r="L104">
        <f t="shared" si="2"/>
        <v>-81454883.2279706</v>
      </c>
      <c r="M104" t="b">
        <f t="shared" si="3"/>
        <v>1</v>
      </c>
    </row>
    <row r="105" spans="1:13" x14ac:dyDescent="0.2">
      <c r="A105" t="s">
        <v>114</v>
      </c>
      <c r="B105" t="s">
        <v>12</v>
      </c>
      <c r="C105">
        <v>6.9079999999999999E-4</v>
      </c>
      <c r="D105">
        <v>1.3532000000000001E-2</v>
      </c>
      <c r="E105">
        <v>1.4222800000000001E-2</v>
      </c>
      <c r="F105">
        <v>908621.00784341199</v>
      </c>
      <c r="G105" s="2">
        <v>2080346836.72084</v>
      </c>
      <c r="H105">
        <v>50</v>
      </c>
      <c r="J105">
        <v>720078.31990551401</v>
      </c>
      <c r="L105">
        <f t="shared" si="2"/>
        <v>188542.68793789798</v>
      </c>
      <c r="M105" t="b">
        <f t="shared" si="3"/>
        <v>0</v>
      </c>
    </row>
    <row r="106" spans="1:13" x14ac:dyDescent="0.2">
      <c r="A106" t="s">
        <v>115</v>
      </c>
      <c r="B106" t="s">
        <v>12</v>
      </c>
      <c r="C106">
        <v>3.098E-4</v>
      </c>
      <c r="D106">
        <v>4.3375000000000002E-3</v>
      </c>
      <c r="E106">
        <v>4.6473E-3</v>
      </c>
      <c r="F106">
        <v>9153.8601434650209</v>
      </c>
      <c r="G106">
        <v>17.414654850887199</v>
      </c>
      <c r="H106">
        <v>50</v>
      </c>
      <c r="J106">
        <v>11703.691728494799</v>
      </c>
      <c r="L106">
        <f t="shared" si="2"/>
        <v>-2549.8315850297786</v>
      </c>
      <c r="M106" t="b">
        <f t="shared" si="3"/>
        <v>1</v>
      </c>
    </row>
    <row r="107" spans="1:13" x14ac:dyDescent="0.2">
      <c r="A107" t="s">
        <v>116</v>
      </c>
      <c r="B107" t="s">
        <v>12</v>
      </c>
      <c r="C107">
        <v>4.1669299999999999E-2</v>
      </c>
      <c r="D107">
        <v>0.63372720000000005</v>
      </c>
      <c r="E107">
        <v>0.67539649999999996</v>
      </c>
      <c r="F107">
        <v>304326195.98795801</v>
      </c>
      <c r="G107" s="2">
        <v>654850864218.66394</v>
      </c>
      <c r="H107">
        <v>50</v>
      </c>
      <c r="J107" s="1">
        <v>8.2686860544019907E-8</v>
      </c>
      <c r="L107">
        <f t="shared" si="2"/>
        <v>304326195.98795795</v>
      </c>
      <c r="M107" t="b">
        <f t="shared" si="3"/>
        <v>0</v>
      </c>
    </row>
    <row r="108" spans="1:13" x14ac:dyDescent="0.2">
      <c r="A108" t="s">
        <v>117</v>
      </c>
      <c r="B108" t="s">
        <v>12</v>
      </c>
      <c r="C108">
        <v>4.7476000000000003E-3</v>
      </c>
      <c r="D108">
        <v>9.0929899999999994E-2</v>
      </c>
      <c r="E108">
        <v>9.5677499999999999E-2</v>
      </c>
      <c r="F108">
        <v>-39527976.903931402</v>
      </c>
      <c r="G108" s="2">
        <v>18882335.6935535</v>
      </c>
      <c r="H108">
        <v>50</v>
      </c>
      <c r="J108">
        <v>2420015.5479570902</v>
      </c>
      <c r="L108">
        <f t="shared" si="2"/>
        <v>-41947992.451888494</v>
      </c>
      <c r="M108" t="b">
        <f t="shared" si="3"/>
        <v>1</v>
      </c>
    </row>
    <row r="109" spans="1:13" x14ac:dyDescent="0.2">
      <c r="A109" t="s">
        <v>118</v>
      </c>
      <c r="B109" t="s">
        <v>12</v>
      </c>
      <c r="C109">
        <v>3.6659000000000001E-3</v>
      </c>
      <c r="D109">
        <v>4.3150300000000003E-2</v>
      </c>
      <c r="E109">
        <v>4.6816200000000002E-2</v>
      </c>
      <c r="F109">
        <v>-1855256.7899316901</v>
      </c>
      <c r="G109" s="2">
        <v>324670.57121841598</v>
      </c>
      <c r="H109">
        <v>50</v>
      </c>
      <c r="J109">
        <v>2424993.68292053</v>
      </c>
      <c r="L109">
        <f t="shared" si="2"/>
        <v>-4280250.4728522198</v>
      </c>
      <c r="M109" t="b">
        <f t="shared" si="3"/>
        <v>1</v>
      </c>
    </row>
    <row r="110" spans="1:13" x14ac:dyDescent="0.2">
      <c r="A110" t="s">
        <v>119</v>
      </c>
      <c r="B110" t="s">
        <v>12</v>
      </c>
      <c r="C110">
        <v>2.04025E-2</v>
      </c>
      <c r="D110">
        <v>1.2167587</v>
      </c>
      <c r="E110">
        <v>1.2371612000000001</v>
      </c>
      <c r="F110">
        <v>-90700217.164290503</v>
      </c>
      <c r="G110" s="2">
        <v>41643115.145996802</v>
      </c>
      <c r="H110">
        <v>50</v>
      </c>
      <c r="J110">
        <v>2376040.70139375</v>
      </c>
      <c r="L110">
        <f t="shared" si="2"/>
        <v>-93076257.865684256</v>
      </c>
      <c r="M110" t="b">
        <f t="shared" si="3"/>
        <v>1</v>
      </c>
    </row>
    <row r="111" spans="1:13" x14ac:dyDescent="0.2">
      <c r="A111" t="s">
        <v>120</v>
      </c>
      <c r="B111" t="s">
        <v>12</v>
      </c>
      <c r="C111">
        <v>5.4762999999999999E-3</v>
      </c>
      <c r="D111">
        <v>0.19800580000000001</v>
      </c>
      <c r="E111">
        <v>0.2034821</v>
      </c>
      <c r="F111">
        <v>-2650692.27360762</v>
      </c>
      <c r="G111" s="2">
        <v>208874.74108357201</v>
      </c>
      <c r="H111">
        <v>50</v>
      </c>
      <c r="J111">
        <v>2385728.86189075</v>
      </c>
      <c r="L111">
        <f t="shared" si="2"/>
        <v>-5036421.13549837</v>
      </c>
      <c r="M111" t="b">
        <f t="shared" si="3"/>
        <v>1</v>
      </c>
    </row>
    <row r="112" spans="1:13" x14ac:dyDescent="0.2">
      <c r="A112" t="s">
        <v>121</v>
      </c>
      <c r="B112" t="s">
        <v>12</v>
      </c>
      <c r="C112">
        <v>2.2318500000000002E-2</v>
      </c>
      <c r="D112">
        <v>1.807256</v>
      </c>
      <c r="E112">
        <v>1.8295745000000001</v>
      </c>
      <c r="F112">
        <v>-12774270.7348633</v>
      </c>
      <c r="G112" s="2">
        <v>6845210.4038042603</v>
      </c>
      <c r="H112">
        <v>50</v>
      </c>
      <c r="J112">
        <v>3018876.5958237699</v>
      </c>
      <c r="L112">
        <f t="shared" si="2"/>
        <v>-15793147.33068707</v>
      </c>
      <c r="M112" t="b">
        <f t="shared" si="3"/>
        <v>1</v>
      </c>
    </row>
    <row r="113" spans="1:13" x14ac:dyDescent="0.2">
      <c r="A113" t="s">
        <v>122</v>
      </c>
      <c r="B113" t="s">
        <v>12</v>
      </c>
      <c r="C113">
        <v>8.8485999999999999E-3</v>
      </c>
      <c r="D113">
        <v>0.22612670000000001</v>
      </c>
      <c r="E113">
        <v>0.2349753</v>
      </c>
      <c r="F113">
        <v>729201.15125829703</v>
      </c>
      <c r="G113" s="2">
        <v>2998256.0944367698</v>
      </c>
      <c r="H113">
        <v>50</v>
      </c>
      <c r="J113">
        <v>3056962.26376916</v>
      </c>
      <c r="L113">
        <f t="shared" si="2"/>
        <v>-2327761.1125108628</v>
      </c>
      <c r="M113" t="b">
        <f t="shared" si="3"/>
        <v>1</v>
      </c>
    </row>
    <row r="114" spans="1:13" x14ac:dyDescent="0.2">
      <c r="A114" t="s">
        <v>123</v>
      </c>
      <c r="B114" t="s">
        <v>12</v>
      </c>
      <c r="C114">
        <v>4.1977999999999998E-3</v>
      </c>
      <c r="D114">
        <v>0.14706250000000001</v>
      </c>
      <c r="E114">
        <v>0.15126029999999999</v>
      </c>
      <c r="F114">
        <v>-88629819160.078598</v>
      </c>
      <c r="G114" s="3">
        <v>1.18224276889374E+16</v>
      </c>
      <c r="H114">
        <v>50</v>
      </c>
      <c r="J114">
        <v>23750458.196928199</v>
      </c>
      <c r="L114">
        <f t="shared" si="2"/>
        <v>-88653569618.275528</v>
      </c>
      <c r="M114" t="b">
        <f t="shared" si="3"/>
        <v>1</v>
      </c>
    </row>
    <row r="115" spans="1:13" x14ac:dyDescent="0.2">
      <c r="A115" t="s">
        <v>124</v>
      </c>
      <c r="B115" t="s">
        <v>12</v>
      </c>
      <c r="C115">
        <v>1.4966999999999999E-3</v>
      </c>
      <c r="D115">
        <v>6.8678699999999995E-2</v>
      </c>
      <c r="E115">
        <v>7.0175399999999999E-2</v>
      </c>
      <c r="F115">
        <v>932331.42234795797</v>
      </c>
      <c r="G115" s="2">
        <v>320660429.49587601</v>
      </c>
      <c r="H115">
        <v>50</v>
      </c>
      <c r="J115">
        <v>7985452.7773540402</v>
      </c>
      <c r="L115">
        <f t="shared" si="2"/>
        <v>-7053121.355006082</v>
      </c>
      <c r="M115" t="b">
        <f t="shared" si="3"/>
        <v>1</v>
      </c>
    </row>
    <row r="116" spans="1:13" x14ac:dyDescent="0.2">
      <c r="A116" t="s">
        <v>125</v>
      </c>
      <c r="B116" t="s">
        <v>12</v>
      </c>
      <c r="C116">
        <v>1.6567999999999999E-3</v>
      </c>
      <c r="D116">
        <v>3.2743599999999998E-2</v>
      </c>
      <c r="E116">
        <v>3.4400399999999998E-2</v>
      </c>
      <c r="F116">
        <v>-6773.7996150525196</v>
      </c>
      <c r="G116" s="2">
        <v>6384.6239717254903</v>
      </c>
      <c r="H116">
        <v>50</v>
      </c>
      <c r="J116" s="1">
        <v>3.3770854566291699E-9</v>
      </c>
      <c r="L116">
        <f t="shared" si="2"/>
        <v>-6773.7996150558965</v>
      </c>
      <c r="M116" t="b">
        <f t="shared" si="3"/>
        <v>1</v>
      </c>
    </row>
    <row r="117" spans="1:13" x14ac:dyDescent="0.2">
      <c r="A117" t="s">
        <v>126</v>
      </c>
      <c r="B117" t="s">
        <v>12</v>
      </c>
      <c r="C117" s="1">
        <v>4.2700000000000001E-5</v>
      </c>
      <c r="D117">
        <v>3.5169999999999998E-4</v>
      </c>
      <c r="E117">
        <v>3.9439999999999999E-4</v>
      </c>
      <c r="F117">
        <v>-14462.9174964336</v>
      </c>
      <c r="G117">
        <v>1.4266633339077701E-2</v>
      </c>
      <c r="H117">
        <v>50</v>
      </c>
      <c r="J117">
        <v>-14462.9994857852</v>
      </c>
      <c r="L117">
        <f t="shared" si="2"/>
        <v>8.1989351599986549E-2</v>
      </c>
      <c r="M117" t="b">
        <f t="shared" si="3"/>
        <v>1</v>
      </c>
    </row>
    <row r="118" spans="1:13" x14ac:dyDescent="0.2">
      <c r="A118" t="s">
        <v>127</v>
      </c>
      <c r="B118" t="s">
        <v>12</v>
      </c>
      <c r="C118">
        <v>8.1142000000000002E-3</v>
      </c>
      <c r="D118">
        <v>0.74716579999999999</v>
      </c>
      <c r="E118">
        <v>0.75527999999999995</v>
      </c>
      <c r="F118">
        <v>155141.44851145899</v>
      </c>
      <c r="G118" s="1">
        <v>3.5981752007236803E-5</v>
      </c>
      <c r="H118">
        <v>50</v>
      </c>
      <c r="J118">
        <v>155143.55504474801</v>
      </c>
      <c r="L118">
        <f t="shared" si="2"/>
        <v>-2.1065332890138961</v>
      </c>
      <c r="M118" t="b">
        <f t="shared" si="3"/>
        <v>1</v>
      </c>
    </row>
    <row r="119" spans="1:13" x14ac:dyDescent="0.2">
      <c r="A119" t="s">
        <v>128</v>
      </c>
      <c r="B119" t="s">
        <v>12</v>
      </c>
      <c r="C119">
        <v>7.7301999999999996E-3</v>
      </c>
      <c r="D119">
        <v>1.5025478000000001</v>
      </c>
      <c r="E119">
        <v>1.510278</v>
      </c>
      <c r="F119">
        <v>22326.878069292699</v>
      </c>
      <c r="G119" s="1">
        <v>4.32195731464187E-5</v>
      </c>
      <c r="H119">
        <v>50</v>
      </c>
      <c r="J119">
        <v>22327.314162051302</v>
      </c>
      <c r="L119">
        <f t="shared" si="2"/>
        <v>-0.43609275860217167</v>
      </c>
      <c r="M119" t="b">
        <f t="shared" si="3"/>
        <v>1</v>
      </c>
    </row>
    <row r="120" spans="1:13" x14ac:dyDescent="0.2">
      <c r="A120" t="s">
        <v>129</v>
      </c>
      <c r="B120" t="s">
        <v>12</v>
      </c>
      <c r="C120" s="1">
        <v>1.9300000000000002E-5</v>
      </c>
      <c r="D120">
        <v>3.5609999999999998E-4</v>
      </c>
      <c r="E120">
        <v>3.7540000000000002E-4</v>
      </c>
      <c r="F120" s="1">
        <v>-7.0704824161376197E-17</v>
      </c>
      <c r="G120">
        <v>1.11259151218759E-2</v>
      </c>
      <c r="H120">
        <v>50</v>
      </c>
      <c r="J120" s="1">
        <v>4.0317473751646001E-17</v>
      </c>
      <c r="L120">
        <f t="shared" si="2"/>
        <v>-1.110222979130222E-16</v>
      </c>
      <c r="M120" t="b">
        <f t="shared" si="3"/>
        <v>1</v>
      </c>
    </row>
    <row r="121" spans="1:13" x14ac:dyDescent="0.2">
      <c r="A121" t="s">
        <v>130</v>
      </c>
      <c r="B121" t="s">
        <v>12</v>
      </c>
      <c r="C121">
        <v>0.17390920000000001</v>
      </c>
      <c r="D121">
        <v>0.7524518</v>
      </c>
      <c r="E121">
        <v>0.92636099999999999</v>
      </c>
      <c r="F121">
        <v>2.2200309482318001</v>
      </c>
      <c r="G121" s="2">
        <v>210.46854740955001</v>
      </c>
      <c r="H121">
        <v>50</v>
      </c>
      <c r="J121">
        <v>1.6014151944722299</v>
      </c>
      <c r="L121">
        <f t="shared" si="2"/>
        <v>0.61861575375957023</v>
      </c>
      <c r="M121" t="b">
        <f t="shared" si="3"/>
        <v>1</v>
      </c>
    </row>
    <row r="122" spans="1:13" x14ac:dyDescent="0.2">
      <c r="A122" t="s">
        <v>131</v>
      </c>
      <c r="B122" t="s">
        <v>12</v>
      </c>
      <c r="C122">
        <v>1.0058000000000001E-3</v>
      </c>
      <c r="D122">
        <v>6.94771E-2</v>
      </c>
      <c r="E122">
        <v>7.0482900000000001E-2</v>
      </c>
      <c r="F122">
        <v>-273.10426137402402</v>
      </c>
      <c r="G122">
        <v>92.740649639547001</v>
      </c>
      <c r="H122">
        <v>50</v>
      </c>
      <c r="L122">
        <f t="shared" si="2"/>
        <v>-273.10426137402402</v>
      </c>
      <c r="M122" t="b">
        <f t="shared" si="3"/>
        <v>1</v>
      </c>
    </row>
    <row r="123" spans="1:13" x14ac:dyDescent="0.2">
      <c r="A123" t="s">
        <v>132</v>
      </c>
      <c r="B123" t="s">
        <v>9</v>
      </c>
      <c r="C123" s="1">
        <v>2.1399999999999998E-5</v>
      </c>
      <c r="D123">
        <v>1.2339999999999999E-4</v>
      </c>
      <c r="E123">
        <v>1.448E-4</v>
      </c>
      <c r="F123">
        <v>-4.1244140335347597</v>
      </c>
      <c r="G123" s="1">
        <v>9.6380958573711196E-6</v>
      </c>
      <c r="H123">
        <v>13</v>
      </c>
      <c r="J123">
        <v>-4.1249999833240798</v>
      </c>
      <c r="L123">
        <f t="shared" si="2"/>
        <v>5.859497893201393E-4</v>
      </c>
      <c r="M123" t="b">
        <f t="shared" si="3"/>
        <v>1</v>
      </c>
    </row>
    <row r="128" spans="1:13" x14ac:dyDescent="0.2">
      <c r="J128" s="1"/>
    </row>
    <row r="135" spans="10:10" x14ac:dyDescent="0.2">
      <c r="J135" s="1"/>
    </row>
  </sheetData>
  <phoneticPr fontId="18" type="noConversion"/>
  <conditionalFormatting sqref="L2">
    <cfRule type="expression" dxfId="2" priority="3">
      <formula>L2/(ABS(F2)+ABS(J2))*2&gt;0.001</formula>
    </cfRule>
  </conditionalFormatting>
  <conditionalFormatting sqref="M2:M123">
    <cfRule type="expression" priority="2">
      <formula>NOT($M$2:$M$123)</formula>
    </cfRule>
  </conditionalFormatting>
  <conditionalFormatting sqref="M2:M123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maros_results - 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 Hu</cp:lastModifiedBy>
  <dcterms:created xsi:type="dcterms:W3CDTF">2025-05-19T08:02:20Z</dcterms:created>
  <dcterms:modified xsi:type="dcterms:W3CDTF">2025-05-19T08:04:53Z</dcterms:modified>
</cp:coreProperties>
</file>